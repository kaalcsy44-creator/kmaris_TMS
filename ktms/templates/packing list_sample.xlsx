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내 드라이브\02 Personally\03 비즈니스 관리 == 사업구상_구직 etc\00 케이마리스에너지앤솔루션즈 주식회사\04 PI CI PL SM POD\260730 Everhonest HTM TITAN HHI B&amp;W Main Air Starting Valve\Everhonest\"/>
    </mc:Choice>
  </mc:AlternateContent>
  <xr:revisionPtr revIDLastSave="0" documentId="13_ncr:1_{94F852C2-CC02-4B68-908B-7E88D83A43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cking List" sheetId="2" r:id="rId1"/>
  </sheets>
  <definedNames>
    <definedName name="_xlnm.Print_Area" localSheetId="0">'Packing List'!$A$1:$M$45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2" l="1"/>
  <c r="E38" i="2"/>
</calcChain>
</file>

<file path=xl/sharedStrings.xml><?xml version="1.0" encoding="utf-8"?>
<sst xmlns="http://schemas.openxmlformats.org/spreadsheetml/2006/main" count="76" uniqueCount="69">
  <si>
    <t>PACKING LIST</t>
  </si>
  <si>
    <t>Invoice No.</t>
  </si>
  <si>
    <t>SHIPPING INFORMATION</t>
  </si>
  <si>
    <t>ETD</t>
  </si>
  <si>
    <t>ETA</t>
  </si>
  <si>
    <t>Country of Origin</t>
  </si>
  <si>
    <t>Made in Korea</t>
  </si>
  <si>
    <t>No.</t>
  </si>
  <si>
    <t>Description</t>
  </si>
  <si>
    <t>Part No.</t>
  </si>
  <si>
    <t>Q'ty</t>
  </si>
  <si>
    <t>Unit</t>
  </si>
  <si>
    <t>N.W. (kg)</t>
  </si>
  <si>
    <t>G.W. (kg)</t>
  </si>
  <si>
    <t>Meas. (m³)</t>
  </si>
  <si>
    <t>PCS</t>
  </si>
  <si>
    <t>TOTAL</t>
  </si>
  <si>
    <t>We hereby certify that this Packing List is true and correct.</t>
  </si>
  <si>
    <t>Authorized Signature</t>
  </si>
  <si>
    <t xml:space="preserve">K-MARIS Energy &amp; Solutions Co., Ltd. </t>
  </si>
  <si>
    <t>Rm S09, #018, 11F Metro Tower, 856 Tongil-ro, Eunpyeong-gu, Seoul 03163, Republic of Korea</t>
    <phoneticPr fontId="7" type="noConversion"/>
  </si>
  <si>
    <t>Tel: +82-10-2957-2359 | sales@k-maris.com  |  www.k-maris.com</t>
    <phoneticPr fontId="7" type="noConversion"/>
  </si>
  <si>
    <t>Invoice Date</t>
  </si>
  <si>
    <t>PO No.</t>
    <phoneticPr fontId="7" type="noConversion"/>
  </si>
  <si>
    <t>CONSIGNEE</t>
    <phoneticPr fontId="7" type="noConversion"/>
  </si>
  <si>
    <t xml:space="preserve"> BUYER (if different)</t>
    <phoneticPr fontId="7" type="noConversion"/>
  </si>
  <si>
    <t>Company Name</t>
    <phoneticPr fontId="7" type="noConversion"/>
  </si>
  <si>
    <t>Address</t>
    <phoneticPr fontId="7" type="noConversion"/>
  </si>
  <si>
    <t>Contact</t>
    <phoneticPr fontId="7" type="noConversion"/>
  </si>
  <si>
    <t>e-mail</t>
    <phoneticPr fontId="7" type="noConversion"/>
  </si>
  <si>
    <t>Vessel / IMO No.</t>
    <phoneticPr fontId="7" type="noConversion"/>
  </si>
  <si>
    <t>Incoterms</t>
  </si>
  <si>
    <t>Payment Terms</t>
  </si>
  <si>
    <t>PCS</t>
    <phoneticPr fontId="7" type="noConversion"/>
  </si>
  <si>
    <t>No. &amp; Kind of Packages</t>
    <phoneticPr fontId="7" type="noConversion"/>
  </si>
  <si>
    <t>DECLARATION</t>
    <phoneticPr fontId="7" type="noConversion"/>
  </si>
  <si>
    <t>Everhonest Ship Engineering Co.,Ltd.</t>
    <phoneticPr fontId="7" type="noConversion"/>
  </si>
  <si>
    <t>Room 2105,Trend Centre 29-31 Cheaung Lee Street, Chaiwan, Hong Kong</t>
    <phoneticPr fontId="7" type="noConversion"/>
  </si>
  <si>
    <t>Ms. Season Han / HP: +86 15954295978</t>
    <phoneticPr fontId="7" type="noConversion"/>
  </si>
  <si>
    <t xml:space="preserve">diesel@everhonestmarine.com </t>
    <phoneticPr fontId="7" type="noConversion"/>
  </si>
  <si>
    <t>Place of Departure</t>
    <phoneticPr fontId="7" type="noConversion"/>
  </si>
  <si>
    <t>Packing</t>
    <phoneticPr fontId="7" type="noConversion"/>
  </si>
  <si>
    <t>AWB</t>
    <phoneticPr fontId="7" type="noConversion"/>
  </si>
  <si>
    <t>Place of Destination</t>
    <phoneticPr fontId="7" type="noConversion"/>
  </si>
  <si>
    <t>T/T in advance</t>
    <phoneticPr fontId="7" type="noConversion"/>
  </si>
  <si>
    <t>Carrier</t>
    <phoneticPr fontId="7" type="noConversion"/>
  </si>
  <si>
    <t>Dim. (cm)</t>
    <phoneticPr fontId="7" type="noConversion"/>
  </si>
  <si>
    <t>L</t>
    <phoneticPr fontId="7" type="noConversion"/>
  </si>
  <si>
    <t>W</t>
    <phoneticPr fontId="7" type="noConversion"/>
  </si>
  <si>
    <t>H</t>
    <phoneticPr fontId="7" type="noConversion"/>
  </si>
  <si>
    <t>Tel: +31 (0)20 5000300</t>
    <phoneticPr fontId="7" type="noConversion"/>
  </si>
  <si>
    <t>ops-cy@swiftmarine.global</t>
    <phoneticPr fontId="7" type="noConversion"/>
  </si>
  <si>
    <t>HTM TITAN/ 9688831</t>
    <phoneticPr fontId="7" type="noConversion"/>
  </si>
  <si>
    <t xml:space="preserve"> The Netherlands</t>
    <phoneticPr fontId="7" type="noConversion"/>
  </si>
  <si>
    <t>Overhaul Kit, ME Starting Valve
- MAIN BALL V/V WITH ACTUATOR</t>
    <phoneticPr fontId="7" type="noConversion"/>
  </si>
  <si>
    <t>Overhaul Kit, ME Starting Valve
- SLOW BALL V/V WITH ACTUATOR</t>
    <phoneticPr fontId="7" type="noConversion"/>
  </si>
  <si>
    <t>REPAIR KIT FOR  MAIN BALL VALVE</t>
    <phoneticPr fontId="7" type="noConversion"/>
  </si>
  <si>
    <t>KK150/50</t>
  </si>
  <si>
    <t>3472-0300-0004 / 484-2</t>
  </si>
  <si>
    <t>1 Carton Box</t>
    <phoneticPr fontId="7" type="noConversion"/>
  </si>
  <si>
    <t>Carton Box</t>
    <phoneticPr fontId="7" type="noConversion"/>
  </si>
  <si>
    <t>EHZM-20260803DIESEL-CI</t>
    <phoneticPr fontId="7" type="noConversion"/>
  </si>
  <si>
    <t>EHZM-20260803DIESEL</t>
    <phoneticPr fontId="7" type="noConversion"/>
  </si>
  <si>
    <t>GlobalPort Logistics BV</t>
    <phoneticPr fontId="7" type="noConversion"/>
  </si>
  <si>
    <t>Stoomloggerweg 3-5
3133 KT Vlaardingen, The Netherlands</t>
    <phoneticPr fontId="7" type="noConversion"/>
  </si>
  <si>
    <t>Busan, Korea</t>
    <phoneticPr fontId="7" type="noConversion"/>
  </si>
  <si>
    <t>EXW Busan, Korea</t>
    <phoneticPr fontId="7" type="noConversion"/>
  </si>
  <si>
    <t>K-MARIS Energy &amp; Solutions Co., Ltd.
(Company Stamp)</t>
    <phoneticPr fontId="7" type="noConversion"/>
  </si>
  <si>
    <t>Received by
(Company Stamp &amp; Date)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</si>
</sst>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###"/>
    <numFmt numFmtId="177" formatCode="dd/mmm/yyyy"/>
    <numFmt numFmtId="178" formatCode="#,##0.####"/>
  </numFmts>
  <fonts count="17">
    <font>
      <sz val="11"/>
      <color theme="1"/>
      <name val="맑은 고딕"/>
      <family val="2"/>
      <scheme val="minor"/>
    </font>
    <font>
      <b/>
      <sz val="19"/>
      <color rgb="FF0B1D3A"/>
      <name val="Noto Sans KR"/>
      <family val="3"/>
      <charset val="129"/>
    </font>
    <font>
      <b/>
      <sz val="10"/>
      <color rgb="FFFFFFFF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Noto Sans KR"/>
      <family val="3"/>
      <charset val="129"/>
    </font>
    <font>
      <b/>
      <sz val="9"/>
      <color rgb="FFFFFFFF"/>
      <name val="Noto Sans KR"/>
      <family val="3"/>
      <charset val="129"/>
    </font>
    <font>
      <b/>
      <sz val="11"/>
      <name val="Noto Sans KR"/>
      <family val="3"/>
      <charset val="129"/>
    </font>
    <font>
      <sz val="8"/>
      <name val="맑은 고딕"/>
      <family val="3"/>
      <charset val="129"/>
      <scheme val="minor"/>
    </font>
    <font>
      <sz val="11"/>
      <name val="Carlito"/>
    </font>
    <font>
      <sz val="18"/>
      <name val="Calibri"/>
      <family val="2"/>
    </font>
    <font>
      <sz val="24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Noto Sans KR"/>
      <family val="3"/>
      <charset val="129"/>
    </font>
    <font>
      <sz val="11"/>
      <color theme="1"/>
      <name val="Noto Sans KR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F4F6F8"/>
      </patternFill>
    </fill>
    <fill>
      <patternFill patternType="solid">
        <fgColor rgb="FF0B1D3A"/>
      </patternFill>
    </fill>
    <fill>
      <patternFill patternType="solid">
        <fgColor rgb="FFEAF3FF"/>
      </patternFill>
    </fill>
    <fill>
      <patternFill patternType="solid">
        <fgColor rgb="FFEAF3FF"/>
        <bgColor indexed="64"/>
      </patternFill>
    </fill>
  </fills>
  <borders count="17">
    <border>
      <left/>
      <right/>
      <top/>
      <bottom/>
      <diagonal/>
    </border>
    <border>
      <left style="thin">
        <color rgb="FFC8D2E0"/>
      </left>
      <right style="thin">
        <color rgb="FFC8D2E0"/>
      </right>
      <top style="thin">
        <color rgb="FFC8D2E0"/>
      </top>
      <bottom style="thin">
        <color rgb="FFC8D2E0"/>
      </bottom>
      <diagonal/>
    </border>
    <border>
      <left/>
      <right/>
      <top/>
      <bottom style="thin">
        <color rgb="FFC8D2E0"/>
      </bottom>
      <diagonal/>
    </border>
    <border>
      <left style="thin">
        <color rgb="FFC8D2E0"/>
      </left>
      <right/>
      <top style="thin">
        <color rgb="FFC8D2E0"/>
      </top>
      <bottom style="thin">
        <color rgb="FFC8D2E0"/>
      </bottom>
      <diagonal/>
    </border>
    <border>
      <left/>
      <right/>
      <top style="thin">
        <color rgb="FFC8D2E0"/>
      </top>
      <bottom style="thin">
        <color rgb="FFC8D2E0"/>
      </bottom>
      <diagonal/>
    </border>
    <border>
      <left/>
      <right style="thin">
        <color rgb="FFC8D2E0"/>
      </right>
      <top style="thin">
        <color rgb="FFC8D2E0"/>
      </top>
      <bottom style="thin">
        <color rgb="FFC8D2E0"/>
      </bottom>
      <diagonal/>
    </border>
    <border>
      <left style="thin">
        <color rgb="FFC8D2E0"/>
      </left>
      <right/>
      <top/>
      <bottom/>
      <diagonal/>
    </border>
    <border>
      <left/>
      <right style="thin">
        <color rgb="FFC8D2E0"/>
      </right>
      <top/>
      <bottom/>
      <diagonal/>
    </border>
    <border>
      <left style="thin">
        <color rgb="FFC8D2E0"/>
      </left>
      <right/>
      <top style="thin">
        <color rgb="FFC8D2E0"/>
      </top>
      <bottom/>
      <diagonal/>
    </border>
    <border>
      <left/>
      <right/>
      <top style="thin">
        <color rgb="FFC8D2E0"/>
      </top>
      <bottom/>
      <diagonal/>
    </border>
    <border>
      <left style="thin">
        <color rgb="FFC8D2E0"/>
      </left>
      <right/>
      <top/>
      <bottom style="thin">
        <color rgb="FFC8D2E0"/>
      </bottom>
      <diagonal/>
    </border>
    <border>
      <left style="thin">
        <color rgb="FFC8D2E0"/>
      </left>
      <right style="thin">
        <color rgb="FFC8D2E0"/>
      </right>
      <top/>
      <bottom/>
      <diagonal/>
    </border>
    <border>
      <left/>
      <right style="thin">
        <color rgb="FFC8D2E0"/>
      </right>
      <top style="thin">
        <color rgb="FFC8D2E0"/>
      </top>
      <bottom/>
      <diagonal/>
    </border>
    <border>
      <left/>
      <right style="thin">
        <color rgb="FFC8D2E0"/>
      </right>
      <top/>
      <bottom style="thin">
        <color rgb="FFC8D2E0"/>
      </bottom>
      <diagonal/>
    </border>
    <border>
      <left style="thin">
        <color rgb="FFC8D2E0"/>
      </left>
      <right style="thin">
        <color rgb="FFC8D2E0"/>
      </right>
      <top style="thin">
        <color rgb="FFC8D2E0"/>
      </top>
      <bottom/>
      <diagonal/>
    </border>
    <border>
      <left style="thin">
        <color rgb="FFC8D2E0"/>
      </left>
      <right style="thin">
        <color rgb="FFC8D2E0"/>
      </right>
      <top/>
      <bottom style="thin">
        <color rgb="FFC8D2E0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">
    <xf numFmtId="0" fontId="0" fillId="0" borderId="0"/>
    <xf numFmtId="0" fontId="8" fillId="0" borderId="0"/>
  </cellStyleXfs>
  <cellXfs count="7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176" fontId="6" fillId="5" borderId="1" xfId="0" applyNumberFormat="1" applyFont="1" applyFill="1" applyBorder="1" applyAlignment="1">
      <alignment horizontal="right" vertical="center"/>
    </xf>
    <xf numFmtId="0" fontId="10" fillId="0" borderId="0" xfId="1" applyFont="1"/>
    <xf numFmtId="0" fontId="12" fillId="0" borderId="0" xfId="1" applyFont="1"/>
    <xf numFmtId="0" fontId="13" fillId="0" borderId="1" xfId="0" applyFont="1" applyBorder="1"/>
    <xf numFmtId="0" fontId="12" fillId="0" borderId="0" xfId="1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78" fontId="6" fillId="5" borderId="1" xfId="0" applyNumberFormat="1" applyFont="1" applyFill="1" applyBorder="1" applyAlignment="1">
      <alignment horizontal="right" vertical="center"/>
    </xf>
    <xf numFmtId="0" fontId="4" fillId="0" borderId="7" xfId="0" applyFont="1" applyBorder="1" applyAlignment="1">
      <alignment vertical="center" wrapText="1"/>
    </xf>
    <xf numFmtId="0" fontId="16" fillId="0" borderId="16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7" xfId="0" applyFont="1" applyBorder="1" applyAlignment="1">
      <alignment horizontal="left"/>
    </xf>
    <xf numFmtId="0" fontId="4" fillId="3" borderId="8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5" fillId="4" borderId="8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left" vertical="center" wrapText="1"/>
    </xf>
    <xf numFmtId="177" fontId="3" fillId="0" borderId="4" xfId="0" applyNumberFormat="1" applyFont="1" applyBorder="1" applyAlignment="1">
      <alignment horizontal="left" vertical="center" wrapText="1"/>
    </xf>
    <xf numFmtId="177" fontId="3" fillId="0" borderId="5" xfId="0" applyNumberFormat="1" applyFont="1" applyBorder="1" applyAlignment="1">
      <alignment horizontal="left" vertical="center" wrapText="1"/>
    </xf>
    <xf numFmtId="0" fontId="9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2" fillId="0" borderId="0" xfId="1" applyFont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6" xfId="0" applyBorder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2" borderId="6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4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</cellXfs>
  <cellStyles count="2">
    <cellStyle name="Normal" xfId="1" xr:uid="{244F1E6B-D4AD-4E46-98A2-D01B58BEAC50}"/>
    <cellStyle name="표준" xfId="0" builtinId="0"/>
  </cellStyles>
  <dxfs count="0"/>
  <tableStyles count="0" defaultTableStyle="TableStyleMedium9" defaultPivotStyle="PivotStyleLight16"/>
  <colors>
    <mruColors>
      <color rgb="FFEAF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67750</xdr:colOff>
      <xdr:row>42</xdr:row>
      <xdr:rowOff>222125</xdr:rowOff>
    </xdr:from>
    <xdr:ext cx="1238250" cy="419100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AB193458-3485-4B2E-91DB-369A1753638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3170" y="11309225"/>
          <a:ext cx="1238250" cy="419100"/>
        </a:xfrm>
        <a:prstGeom prst="rect">
          <a:avLst/>
        </a:prstGeom>
      </xdr:spPr>
    </xdr:pic>
    <xdr:clientData/>
  </xdr:oneCellAnchor>
  <xdr:oneCellAnchor>
    <xdr:from>
      <xdr:col>6</xdr:col>
      <xdr:colOff>263182</xdr:colOff>
      <xdr:row>42</xdr:row>
      <xdr:rowOff>60960</xdr:rowOff>
    </xdr:from>
    <xdr:ext cx="742950" cy="742950"/>
    <xdr:pic>
      <xdr:nvPicPr>
        <xdr:cNvPr id="3" name="Image 3" descr="Picture">
          <a:extLst>
            <a:ext uri="{FF2B5EF4-FFF2-40B4-BE49-F238E27FC236}">
              <a16:creationId xmlns:a16="http://schemas.microsoft.com/office/drawing/2014/main" id="{E570FF99-913B-4172-80E4-238567B28C1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25682" y="11148060"/>
          <a:ext cx="742950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656216</xdr:colOff>
      <xdr:row>0</xdr:row>
      <xdr:rowOff>76200</xdr:rowOff>
    </xdr:from>
    <xdr:to>
      <xdr:col>2</xdr:col>
      <xdr:colOff>610090</xdr:colOff>
      <xdr:row>3</xdr:row>
      <xdr:rowOff>41366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F1581C5-43DC-4505-B8BA-65717F0F9C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9" t="15345" r="64065" b="9523"/>
        <a:stretch>
          <a:fillRect/>
        </a:stretch>
      </xdr:blipFill>
      <xdr:spPr>
        <a:xfrm>
          <a:off x="1113416" y="76200"/>
          <a:ext cx="949917" cy="792480"/>
        </a:xfrm>
        <a:prstGeom prst="rect">
          <a:avLst/>
        </a:prstGeom>
      </xdr:spPr>
    </xdr:pic>
    <xdr:clientData/>
  </xdr:twoCellAnchor>
  <xdr:twoCellAnchor editAs="oneCell">
    <xdr:from>
      <xdr:col>8</xdr:col>
      <xdr:colOff>363000</xdr:colOff>
      <xdr:row>0</xdr:row>
      <xdr:rowOff>324396</xdr:rowOff>
    </xdr:from>
    <xdr:to>
      <xdr:col>12</xdr:col>
      <xdr:colOff>94573</xdr:colOff>
      <xdr:row>1</xdr:row>
      <xdr:rowOff>19886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3E4B024-82E6-4DCF-AD9C-2576165DC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47099" y="324396"/>
          <a:ext cx="1351697" cy="167693"/>
        </a:xfrm>
        <a:prstGeom prst="rect">
          <a:avLst/>
        </a:prstGeom>
      </xdr:spPr>
    </xdr:pic>
    <xdr:clientData/>
  </xdr:twoCellAnchor>
  <xdr:twoCellAnchor editAs="oneCell">
    <xdr:from>
      <xdr:col>8</xdr:col>
      <xdr:colOff>367511</xdr:colOff>
      <xdr:row>1</xdr:row>
      <xdr:rowOff>18660</xdr:rowOff>
    </xdr:from>
    <xdr:to>
      <xdr:col>12</xdr:col>
      <xdr:colOff>133059</xdr:colOff>
      <xdr:row>2</xdr:row>
      <xdr:rowOff>18942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E9C2AAB-FEAD-46CE-9A3D-3ED5C62E3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1610" y="491952"/>
          <a:ext cx="1383494" cy="176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91B7-29BF-461B-A78D-34E10D7D10B4}">
  <sheetPr>
    <pageSetUpPr fitToPage="1"/>
  </sheetPr>
  <dimension ref="A1:W45"/>
  <sheetViews>
    <sheetView showGridLines="0" tabSelected="1" topLeftCell="A31" zoomScaleNormal="100" zoomScaleSheetLayoutView="115" workbookViewId="0">
      <selection activeCell="D34" sqref="D34"/>
    </sheetView>
  </sheetViews>
  <sheetFormatPr defaultRowHeight="17.399999999999999"/>
  <cols>
    <col min="1" max="1" width="6" customWidth="1"/>
    <col min="2" max="2" width="13.09765625" customWidth="1"/>
    <col min="3" max="3" width="18.59765625" customWidth="1"/>
    <col min="4" max="4" width="13" customWidth="1"/>
    <col min="5" max="6" width="5.8984375" customWidth="1"/>
    <col min="7" max="7" width="14.59765625" customWidth="1"/>
    <col min="8" max="9" width="8.09765625" customWidth="1"/>
    <col min="10" max="12" width="4.3984375" customWidth="1"/>
    <col min="13" max="13" width="10.69921875" customWidth="1"/>
  </cols>
  <sheetData>
    <row r="1" spans="1:23" ht="37.200000000000003" customHeight="1">
      <c r="A1" s="50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3"/>
      <c r="O1" s="3"/>
      <c r="P1" s="3"/>
    </row>
    <row r="2" spans="1:23" ht="14.1" customHeight="1">
      <c r="A2" s="51" t="s">
        <v>20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4"/>
      <c r="O2" s="4"/>
      <c r="P2" s="4"/>
    </row>
    <row r="3" spans="1:23" ht="14.1" customHeight="1">
      <c r="A3" s="51" t="s">
        <v>21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4"/>
      <c r="O3" s="4"/>
      <c r="P3" s="4"/>
      <c r="T3" s="55"/>
      <c r="U3" s="56"/>
      <c r="V3" s="56"/>
      <c r="W3" s="56"/>
    </row>
    <row r="4" spans="1:23" ht="15.6" customHeight="1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6"/>
      <c r="O4" s="6"/>
      <c r="P4" s="6"/>
      <c r="T4" s="1"/>
      <c r="U4" s="5"/>
      <c r="V4" s="5"/>
      <c r="W4" s="5"/>
    </row>
    <row r="5" spans="1:23" ht="33" customHeight="1">
      <c r="A5" s="58" t="s">
        <v>0</v>
      </c>
      <c r="B5" s="59"/>
      <c r="C5" s="60"/>
      <c r="D5" s="60"/>
      <c r="E5" s="60"/>
      <c r="F5" s="60"/>
      <c r="G5" s="60"/>
      <c r="H5" s="60"/>
      <c r="I5" s="60"/>
      <c r="J5" s="61"/>
      <c r="K5" s="61"/>
      <c r="L5" s="61"/>
      <c r="M5" s="61"/>
    </row>
    <row r="6" spans="1:23" ht="14.4" customHeight="1"/>
    <row r="7" spans="1:23" ht="17.399999999999999" customHeight="1">
      <c r="A7" s="7"/>
      <c r="B7" s="7"/>
      <c r="C7" s="7"/>
      <c r="D7" s="7"/>
      <c r="E7" s="22"/>
      <c r="F7" s="39" t="s">
        <v>1</v>
      </c>
      <c r="G7" s="40"/>
      <c r="H7" s="26" t="s">
        <v>61</v>
      </c>
      <c r="I7" s="27"/>
      <c r="J7" s="27"/>
      <c r="K7" s="27"/>
      <c r="L7" s="27"/>
      <c r="M7" s="28"/>
    </row>
    <row r="8" spans="1:23" ht="17.399999999999999" customHeight="1">
      <c r="A8" s="7"/>
      <c r="B8" s="7"/>
      <c r="C8" s="7"/>
      <c r="D8" s="7"/>
      <c r="E8" s="22"/>
      <c r="F8" s="39" t="s">
        <v>22</v>
      </c>
      <c r="G8" s="40"/>
      <c r="H8" s="47">
        <v>46237</v>
      </c>
      <c r="I8" s="48"/>
      <c r="J8" s="48"/>
      <c r="K8" s="48"/>
      <c r="L8" s="48"/>
      <c r="M8" s="49"/>
    </row>
    <row r="9" spans="1:23">
      <c r="A9" s="7"/>
      <c r="B9" s="7"/>
      <c r="C9" s="7"/>
      <c r="D9" s="7"/>
      <c r="E9" s="22"/>
      <c r="F9" s="39" t="s">
        <v>23</v>
      </c>
      <c r="G9" s="40"/>
      <c r="H9" s="26" t="s">
        <v>62</v>
      </c>
      <c r="I9" s="27"/>
      <c r="J9" s="27"/>
      <c r="K9" s="27"/>
      <c r="L9" s="27"/>
      <c r="M9" s="28"/>
    </row>
    <row r="10" spans="1:23">
      <c r="A10" s="8"/>
      <c r="B10" s="8"/>
      <c r="C10" s="8"/>
      <c r="D10" s="8"/>
      <c r="E10" s="8"/>
      <c r="F10" s="8"/>
      <c r="G10" s="9"/>
      <c r="H10" s="9"/>
      <c r="I10" s="8"/>
      <c r="J10" s="8"/>
      <c r="K10" s="8"/>
      <c r="L10" s="8"/>
      <c r="M10" s="8"/>
    </row>
    <row r="11" spans="1:23" ht="17.399999999999999" customHeight="1">
      <c r="A11" s="52" t="s">
        <v>24</v>
      </c>
      <c r="B11" s="53"/>
      <c r="C11" s="53"/>
      <c r="D11" s="53"/>
      <c r="E11" s="54"/>
      <c r="F11" s="52" t="s">
        <v>25</v>
      </c>
      <c r="G11" s="53"/>
      <c r="H11" s="53"/>
      <c r="I11" s="53"/>
      <c r="J11" s="53"/>
      <c r="K11" s="53"/>
      <c r="L11" s="53"/>
      <c r="M11" s="54"/>
    </row>
    <row r="12" spans="1:23" ht="17.399999999999999" customHeight="1">
      <c r="A12" s="41" t="s">
        <v>26</v>
      </c>
      <c r="B12" s="42"/>
      <c r="C12" s="26" t="s">
        <v>63</v>
      </c>
      <c r="D12" s="27"/>
      <c r="E12" s="28"/>
      <c r="F12" s="39" t="s">
        <v>26</v>
      </c>
      <c r="G12" s="40"/>
      <c r="H12" s="26" t="s">
        <v>36</v>
      </c>
      <c r="I12" s="27"/>
      <c r="J12" s="27"/>
      <c r="K12" s="27"/>
      <c r="L12" s="27"/>
      <c r="M12" s="28"/>
    </row>
    <row r="13" spans="1:23" ht="29.4" customHeight="1">
      <c r="A13" s="41" t="s">
        <v>27</v>
      </c>
      <c r="B13" s="42"/>
      <c r="C13" s="26" t="s">
        <v>64</v>
      </c>
      <c r="D13" s="27"/>
      <c r="E13" s="28"/>
      <c r="F13" s="39" t="s">
        <v>27</v>
      </c>
      <c r="G13" s="40"/>
      <c r="H13" s="26" t="s">
        <v>37</v>
      </c>
      <c r="I13" s="27"/>
      <c r="J13" s="27"/>
      <c r="K13" s="27"/>
      <c r="L13" s="27"/>
      <c r="M13" s="28"/>
    </row>
    <row r="14" spans="1:23" ht="17.399999999999999" customHeight="1">
      <c r="A14" s="41" t="s">
        <v>28</v>
      </c>
      <c r="B14" s="42"/>
      <c r="C14" s="29" t="s">
        <v>50</v>
      </c>
      <c r="D14" s="30"/>
      <c r="E14" s="31"/>
      <c r="F14" s="39" t="s">
        <v>28</v>
      </c>
      <c r="G14" s="40"/>
      <c r="H14" s="26" t="s">
        <v>38</v>
      </c>
      <c r="I14" s="27"/>
      <c r="J14" s="27"/>
      <c r="K14" s="27"/>
      <c r="L14" s="27"/>
      <c r="M14" s="28"/>
    </row>
    <row r="15" spans="1:23" ht="17.399999999999999" customHeight="1">
      <c r="A15" s="41" t="s">
        <v>29</v>
      </c>
      <c r="B15" s="42"/>
      <c r="C15" s="32" t="s">
        <v>51</v>
      </c>
      <c r="D15" s="33"/>
      <c r="E15" s="34"/>
      <c r="F15" s="35" t="s">
        <v>29</v>
      </c>
      <c r="G15" s="36"/>
      <c r="H15" s="29" t="s">
        <v>39</v>
      </c>
      <c r="I15" s="30"/>
      <c r="J15" s="30"/>
      <c r="K15" s="30"/>
      <c r="L15" s="30"/>
      <c r="M15" s="30"/>
    </row>
    <row r="16" spans="1:23" ht="17.399999999999999" customHeight="1">
      <c r="A16" s="64" t="s">
        <v>2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</row>
    <row r="17" spans="1:13" ht="17.399999999999999" customHeight="1">
      <c r="A17" s="41" t="s">
        <v>30</v>
      </c>
      <c r="B17" s="42"/>
      <c r="C17" s="26" t="s">
        <v>52</v>
      </c>
      <c r="D17" s="27"/>
      <c r="E17" s="28"/>
      <c r="F17" s="39" t="s">
        <v>45</v>
      </c>
      <c r="G17" s="40"/>
      <c r="H17" s="26" t="s">
        <v>42</v>
      </c>
      <c r="I17" s="27"/>
      <c r="J17" s="27"/>
      <c r="K17" s="27"/>
      <c r="L17" s="27"/>
      <c r="M17" s="28"/>
    </row>
    <row r="18" spans="1:13" ht="17.399999999999999" customHeight="1">
      <c r="A18" s="41" t="s">
        <v>40</v>
      </c>
      <c r="B18" s="42"/>
      <c r="C18" s="26" t="s">
        <v>65</v>
      </c>
      <c r="D18" s="27"/>
      <c r="E18" s="28"/>
      <c r="F18" s="39" t="s">
        <v>43</v>
      </c>
      <c r="G18" s="40"/>
      <c r="H18" s="26" t="s">
        <v>53</v>
      </c>
      <c r="I18" s="27"/>
      <c r="J18" s="27"/>
      <c r="K18" s="27"/>
      <c r="L18" s="27"/>
      <c r="M18" s="28"/>
    </row>
    <row r="19" spans="1:13">
      <c r="A19" s="41" t="s">
        <v>3</v>
      </c>
      <c r="B19" s="42"/>
      <c r="C19" s="47">
        <v>46238</v>
      </c>
      <c r="D19" s="48"/>
      <c r="E19" s="49"/>
      <c r="F19" s="39" t="s">
        <v>4</v>
      </c>
      <c r="G19" s="40"/>
      <c r="H19" s="47">
        <v>46239</v>
      </c>
      <c r="I19" s="48"/>
      <c r="J19" s="48"/>
      <c r="K19" s="48"/>
      <c r="L19" s="48"/>
      <c r="M19" s="49"/>
    </row>
    <row r="20" spans="1:13" ht="17.399999999999999" customHeight="1">
      <c r="A20" s="41" t="s">
        <v>31</v>
      </c>
      <c r="B20" s="42"/>
      <c r="C20" s="26" t="s">
        <v>66</v>
      </c>
      <c r="D20" s="27"/>
      <c r="E20" s="28"/>
      <c r="F20" s="39" t="s">
        <v>32</v>
      </c>
      <c r="G20" s="40"/>
      <c r="H20" s="26" t="s">
        <v>44</v>
      </c>
      <c r="I20" s="27"/>
      <c r="J20" s="27"/>
      <c r="K20" s="27"/>
      <c r="L20" s="27"/>
      <c r="M20" s="28"/>
    </row>
    <row r="21" spans="1:13" ht="17.399999999999999" customHeight="1">
      <c r="A21" s="39" t="s">
        <v>41</v>
      </c>
      <c r="B21" s="40"/>
      <c r="C21" s="26" t="s">
        <v>60</v>
      </c>
      <c r="D21" s="27"/>
      <c r="E21" s="28"/>
      <c r="F21" s="39" t="s">
        <v>5</v>
      </c>
      <c r="G21" s="40"/>
      <c r="H21" s="26" t="s">
        <v>6</v>
      </c>
      <c r="I21" s="27"/>
      <c r="J21" s="27"/>
      <c r="K21" s="27"/>
      <c r="L21" s="27"/>
      <c r="M21" s="28"/>
    </row>
    <row r="22" spans="1:13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</row>
    <row r="23" spans="1:13" ht="20.399999999999999" customHeight="1">
      <c r="A23" s="37" t="s">
        <v>7</v>
      </c>
      <c r="B23" s="43" t="s">
        <v>8</v>
      </c>
      <c r="C23" s="44"/>
      <c r="D23" s="37" t="s">
        <v>9</v>
      </c>
      <c r="E23" s="37" t="s">
        <v>10</v>
      </c>
      <c r="F23" s="37" t="s">
        <v>11</v>
      </c>
      <c r="G23" s="37" t="s">
        <v>34</v>
      </c>
      <c r="H23" s="37" t="s">
        <v>12</v>
      </c>
      <c r="I23" s="37" t="s">
        <v>13</v>
      </c>
      <c r="J23" s="70" t="s">
        <v>46</v>
      </c>
      <c r="K23" s="71"/>
      <c r="L23" s="72"/>
      <c r="M23" s="37" t="s">
        <v>14</v>
      </c>
    </row>
    <row r="24" spans="1:13" ht="17.399999999999999" customHeight="1">
      <c r="A24" s="38"/>
      <c r="B24" s="45"/>
      <c r="C24" s="46"/>
      <c r="D24" s="38"/>
      <c r="E24" s="38"/>
      <c r="F24" s="38"/>
      <c r="G24" s="38"/>
      <c r="H24" s="38"/>
      <c r="I24" s="38"/>
      <c r="J24" s="10" t="s">
        <v>47</v>
      </c>
      <c r="K24" s="20" t="s">
        <v>48</v>
      </c>
      <c r="L24" s="11" t="s">
        <v>49</v>
      </c>
      <c r="M24" s="38"/>
    </row>
    <row r="25" spans="1:13" ht="42.6" customHeight="1">
      <c r="A25" s="15">
        <v>1</v>
      </c>
      <c r="B25" s="66" t="s">
        <v>54</v>
      </c>
      <c r="C25" s="42"/>
      <c r="D25" s="23" t="s">
        <v>57</v>
      </c>
      <c r="E25" s="15">
        <v>1</v>
      </c>
      <c r="F25" s="15" t="s">
        <v>15</v>
      </c>
      <c r="G25" s="16"/>
      <c r="H25" s="17"/>
      <c r="I25" s="17"/>
      <c r="J25" s="17"/>
      <c r="K25" s="17"/>
      <c r="L25" s="17"/>
      <c r="M25" s="17"/>
    </row>
    <row r="26" spans="1:13" ht="42.6" customHeight="1">
      <c r="A26" s="15">
        <v>2</v>
      </c>
      <c r="B26" s="66" t="s">
        <v>55</v>
      </c>
      <c r="C26" s="42"/>
      <c r="D26" s="23" t="s">
        <v>57</v>
      </c>
      <c r="E26" s="15">
        <v>1</v>
      </c>
      <c r="F26" s="15" t="s">
        <v>15</v>
      </c>
      <c r="G26" s="16"/>
      <c r="H26" s="17"/>
      <c r="I26" s="17"/>
      <c r="J26" s="17"/>
      <c r="K26" s="17"/>
      <c r="L26" s="17"/>
      <c r="M26" s="17"/>
    </row>
    <row r="27" spans="1:13" ht="42.6" customHeight="1">
      <c r="A27" s="15">
        <v>3</v>
      </c>
      <c r="B27" s="24" t="s">
        <v>56</v>
      </c>
      <c r="C27" s="25"/>
      <c r="D27" s="23" t="s">
        <v>58</v>
      </c>
      <c r="E27" s="15">
        <v>1</v>
      </c>
      <c r="F27" s="15" t="s">
        <v>15</v>
      </c>
      <c r="G27" s="16"/>
      <c r="H27" s="17"/>
      <c r="I27" s="17"/>
      <c r="J27" s="17"/>
      <c r="K27" s="17"/>
      <c r="L27" s="17"/>
      <c r="M27" s="17"/>
    </row>
    <row r="28" spans="1:13" ht="18" customHeight="1">
      <c r="A28" s="15"/>
      <c r="B28" s="18"/>
      <c r="C28" s="19"/>
      <c r="D28" s="16"/>
      <c r="E28" s="15"/>
      <c r="F28" s="15"/>
      <c r="G28" s="16"/>
      <c r="H28" s="17"/>
      <c r="I28" s="17"/>
      <c r="J28" s="17"/>
      <c r="K28" s="17"/>
      <c r="L28" s="17"/>
      <c r="M28" s="17"/>
    </row>
    <row r="29" spans="1:13" ht="18" customHeight="1">
      <c r="A29" s="15"/>
      <c r="B29" s="18"/>
      <c r="C29" s="19"/>
      <c r="D29" s="16"/>
      <c r="E29" s="15"/>
      <c r="F29" s="15"/>
      <c r="G29" s="16"/>
      <c r="H29" s="17"/>
      <c r="I29" s="17"/>
      <c r="J29" s="17"/>
      <c r="K29" s="17"/>
      <c r="L29" s="17"/>
      <c r="M29" s="17"/>
    </row>
    <row r="30" spans="1:13" ht="18" customHeight="1">
      <c r="A30" s="15"/>
      <c r="B30" s="18"/>
      <c r="C30" s="19"/>
      <c r="D30" s="16"/>
      <c r="E30" s="15"/>
      <c r="F30" s="15"/>
      <c r="G30" s="16"/>
      <c r="H30" s="17"/>
      <c r="I30" s="17"/>
      <c r="J30" s="17"/>
      <c r="K30" s="17"/>
      <c r="L30" s="17"/>
      <c r="M30" s="17"/>
    </row>
    <row r="31" spans="1:13" ht="18" customHeight="1">
      <c r="A31" s="15"/>
      <c r="B31" s="18"/>
      <c r="C31" s="19"/>
      <c r="D31" s="16"/>
      <c r="E31" s="15"/>
      <c r="F31" s="15"/>
      <c r="G31" s="16"/>
      <c r="H31" s="17"/>
      <c r="I31" s="17"/>
      <c r="J31" s="17"/>
      <c r="K31" s="17"/>
      <c r="L31" s="17"/>
      <c r="M31" s="17"/>
    </row>
    <row r="32" spans="1:13" ht="18" customHeight="1">
      <c r="A32" s="15"/>
      <c r="B32" s="18"/>
      <c r="C32" s="19"/>
      <c r="D32" s="16"/>
      <c r="E32" s="15"/>
      <c r="F32" s="15"/>
      <c r="G32" s="16"/>
      <c r="H32" s="17"/>
      <c r="I32" s="17"/>
      <c r="J32" s="17"/>
      <c r="K32" s="17"/>
      <c r="L32" s="17"/>
      <c r="M32" s="17"/>
    </row>
    <row r="33" spans="1:13" ht="18" customHeight="1">
      <c r="A33" s="15"/>
      <c r="B33" s="18"/>
      <c r="C33" s="19"/>
      <c r="D33" s="16"/>
      <c r="E33" s="15"/>
      <c r="F33" s="15"/>
      <c r="G33" s="16"/>
      <c r="H33" s="17"/>
      <c r="I33" s="17"/>
      <c r="J33" s="17"/>
      <c r="K33" s="17"/>
      <c r="L33" s="17"/>
      <c r="M33" s="17"/>
    </row>
    <row r="34" spans="1:13" ht="18" customHeight="1">
      <c r="A34" s="15"/>
      <c r="B34" s="18"/>
      <c r="C34" s="19"/>
      <c r="D34" s="16"/>
      <c r="E34" s="15"/>
      <c r="F34" s="15"/>
      <c r="G34" s="16"/>
      <c r="H34" s="17"/>
      <c r="I34" s="17"/>
      <c r="J34" s="17"/>
      <c r="K34" s="17"/>
      <c r="L34" s="17"/>
      <c r="M34" s="17"/>
    </row>
    <row r="35" spans="1:13" ht="18" customHeight="1">
      <c r="A35" s="15"/>
      <c r="B35" s="18"/>
      <c r="C35" s="19"/>
      <c r="D35" s="16"/>
      <c r="E35" s="15"/>
      <c r="F35" s="15"/>
      <c r="G35" s="16"/>
      <c r="H35" s="17"/>
      <c r="I35" s="17"/>
      <c r="J35" s="17"/>
      <c r="K35" s="17"/>
      <c r="L35" s="17"/>
      <c r="M35" s="17"/>
    </row>
    <row r="36" spans="1:13" ht="18" customHeight="1">
      <c r="A36" s="15"/>
      <c r="B36" s="18"/>
      <c r="C36" s="19"/>
      <c r="D36" s="16"/>
      <c r="E36" s="15"/>
      <c r="F36" s="15"/>
      <c r="G36" s="16"/>
      <c r="H36" s="17"/>
      <c r="I36" s="17"/>
      <c r="J36" s="17"/>
      <c r="K36" s="17"/>
      <c r="L36" s="17"/>
      <c r="M36" s="17"/>
    </row>
    <row r="37" spans="1:13" ht="18" customHeight="1">
      <c r="A37" s="15"/>
      <c r="B37" s="18"/>
      <c r="C37" s="19"/>
      <c r="D37" s="16"/>
      <c r="E37" s="15"/>
      <c r="F37" s="15"/>
      <c r="G37" s="16"/>
      <c r="H37" s="17"/>
      <c r="I37" s="17"/>
      <c r="J37" s="17"/>
      <c r="K37" s="17"/>
      <c r="L37" s="17"/>
      <c r="M37" s="17"/>
    </row>
    <row r="38" spans="1:13" ht="39.6" customHeight="1">
      <c r="A38" s="67" t="s">
        <v>16</v>
      </c>
      <c r="B38" s="68"/>
      <c r="C38" s="68"/>
      <c r="D38" s="69"/>
      <c r="E38" s="13">
        <f>SUM(E25:E37)</f>
        <v>3</v>
      </c>
      <c r="F38" s="14" t="s">
        <v>33</v>
      </c>
      <c r="G38" s="12" t="s">
        <v>59</v>
      </c>
      <c r="H38" s="2">
        <v>3</v>
      </c>
      <c r="I38" s="2">
        <v>3</v>
      </c>
      <c r="J38" s="2">
        <v>30</v>
      </c>
      <c r="K38" s="2">
        <v>23</v>
      </c>
      <c r="L38" s="2">
        <v>21</v>
      </c>
      <c r="M38" s="21">
        <f>J38*K38*L38/1000000</f>
        <v>1.4489999999999999E-2</v>
      </c>
    </row>
    <row r="40" spans="1:13" ht="17.399999999999999" customHeight="1">
      <c r="A40" s="64" t="s">
        <v>35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</row>
    <row r="41" spans="1:13">
      <c r="A41" s="62" t="s">
        <v>17</v>
      </c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</row>
    <row r="43" spans="1:13" ht="28.05" customHeight="1">
      <c r="A43" s="76" t="s">
        <v>18</v>
      </c>
      <c r="B43" s="76"/>
      <c r="C43" s="76"/>
      <c r="D43" s="76" t="s">
        <v>67</v>
      </c>
      <c r="E43" s="76"/>
      <c r="F43" s="76"/>
      <c r="G43" s="76"/>
      <c r="H43" s="76" t="s">
        <v>68</v>
      </c>
      <c r="I43" s="76"/>
      <c r="J43" s="76"/>
      <c r="K43" s="76"/>
      <c r="L43" s="76"/>
      <c r="M43" s="76"/>
    </row>
    <row r="44" spans="1:13" ht="20.100000000000001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</row>
    <row r="45" spans="1:13" ht="21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</row>
  </sheetData>
  <mergeCells count="71">
    <mergeCell ref="A43:C45"/>
    <mergeCell ref="D43:G45"/>
    <mergeCell ref="H43:M45"/>
    <mergeCell ref="A41:M41"/>
    <mergeCell ref="A16:M16"/>
    <mergeCell ref="A18:B18"/>
    <mergeCell ref="H18:M18"/>
    <mergeCell ref="A17:B17"/>
    <mergeCell ref="H17:M17"/>
    <mergeCell ref="B25:C25"/>
    <mergeCell ref="B26:C26"/>
    <mergeCell ref="A38:D38"/>
    <mergeCell ref="A40:M40"/>
    <mergeCell ref="A21:B21"/>
    <mergeCell ref="H21:M21"/>
    <mergeCell ref="J23:L23"/>
    <mergeCell ref="A20:B20"/>
    <mergeCell ref="H20:M20"/>
    <mergeCell ref="A22:M22"/>
    <mergeCell ref="T3:W3"/>
    <mergeCell ref="A4:M4"/>
    <mergeCell ref="H7:M7"/>
    <mergeCell ref="H8:M8"/>
    <mergeCell ref="H9:M9"/>
    <mergeCell ref="F7:G7"/>
    <mergeCell ref="F8:G8"/>
    <mergeCell ref="F9:G9"/>
    <mergeCell ref="A5:M5"/>
    <mergeCell ref="A19:B19"/>
    <mergeCell ref="H19:M19"/>
    <mergeCell ref="C17:E17"/>
    <mergeCell ref="C18:E18"/>
    <mergeCell ref="A1:M1"/>
    <mergeCell ref="A2:M2"/>
    <mergeCell ref="A3:M3"/>
    <mergeCell ref="A12:B12"/>
    <mergeCell ref="H12:M12"/>
    <mergeCell ref="C12:E12"/>
    <mergeCell ref="A11:E11"/>
    <mergeCell ref="F11:M11"/>
    <mergeCell ref="F12:G12"/>
    <mergeCell ref="A23:A24"/>
    <mergeCell ref="F13:G13"/>
    <mergeCell ref="F14:G14"/>
    <mergeCell ref="A13:B13"/>
    <mergeCell ref="H13:M13"/>
    <mergeCell ref="A14:B14"/>
    <mergeCell ref="B23:C24"/>
    <mergeCell ref="D23:D24"/>
    <mergeCell ref="E23:E24"/>
    <mergeCell ref="F23:F24"/>
    <mergeCell ref="C19:E19"/>
    <mergeCell ref="C20:E20"/>
    <mergeCell ref="C21:E21"/>
    <mergeCell ref="H14:M14"/>
    <mergeCell ref="A15:B15"/>
    <mergeCell ref="H15:M15"/>
    <mergeCell ref="B27:C27"/>
    <mergeCell ref="C13:E13"/>
    <mergeCell ref="C14:E14"/>
    <mergeCell ref="C15:E15"/>
    <mergeCell ref="F15:G15"/>
    <mergeCell ref="G23:G24"/>
    <mergeCell ref="H23:H24"/>
    <mergeCell ref="I23:I24"/>
    <mergeCell ref="M23:M24"/>
    <mergeCell ref="F17:G17"/>
    <mergeCell ref="F18:G18"/>
    <mergeCell ref="F19:G19"/>
    <mergeCell ref="F20:G20"/>
    <mergeCell ref="F21:G21"/>
  </mergeCells>
  <phoneticPr fontId="7" type="noConversion"/>
  <pageMargins left="0.23622047244094491" right="0.23622047244094491" top="0.70866141732283472" bottom="0.31496062992125984" header="0.51181102362204722" footer="0.51181102362204722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Packing List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sungyeon cho</cp:lastModifiedBy>
  <cp:lastPrinted>2026-08-03T08:50:19Z</cp:lastPrinted>
  <dcterms:created xsi:type="dcterms:W3CDTF">2026-07-15T07:07:51Z</dcterms:created>
  <dcterms:modified xsi:type="dcterms:W3CDTF">2026-08-03T08:50:20Z</dcterms:modified>
</cp:coreProperties>
</file>