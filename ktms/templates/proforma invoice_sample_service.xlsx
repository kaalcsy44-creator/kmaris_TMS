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yWorkspace\Kmaris_TMS\ktms\templates\"/>
    </mc:Choice>
  </mc:AlternateContent>
  <xr:revisionPtr revIDLastSave="0" documentId="8_{CE65FA37-58C2-4AF9-B6E5-59324F00705C}" xr6:coauthVersionLast="47" xr6:coauthVersionMax="47" xr10:uidLastSave="{00000000-0000-0000-0000-000000000000}"/>
  <bookViews>
    <workbookView xWindow="-77" yWindow="-77" windowWidth="24840" windowHeight="14863" xr2:uid="{00000000-000D-0000-FFFF-FFFF00000000}"/>
  </bookViews>
  <sheets>
    <sheet name="Proforma Invoice" sheetId="2" r:id="rId1"/>
  </sheets>
  <definedNames>
    <definedName name="_xlnm.Print_Area" localSheetId="0">'Proforma Invoice'!$A$1:$H$34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" l="1"/>
  <c r="H24" i="2" s="1"/>
</calcChain>
</file>

<file path=xl/sharedStrings.xml><?xml version="1.0" encoding="utf-8"?>
<sst xmlns="http://schemas.openxmlformats.org/spreadsheetml/2006/main" count="59" uniqueCount="58">
  <si>
    <t>Invoice No.</t>
  </si>
  <si>
    <t>Invoice Date</t>
  </si>
  <si>
    <t>Payment Terms</t>
  </si>
  <si>
    <t>Currency</t>
  </si>
  <si>
    <t>No.</t>
  </si>
  <si>
    <t>Description</t>
  </si>
  <si>
    <t>Qty</t>
  </si>
  <si>
    <t>Unit Price</t>
  </si>
  <si>
    <t>TOTAL INVOICE VALUE</t>
  </si>
  <si>
    <t>We hereby certify that this Commercial Invoice is true and correct.</t>
  </si>
  <si>
    <t>Authorized Signature</t>
  </si>
  <si>
    <t>K-MARIS Energy &amp; Solutions Co., Ltd.
(Company Stamp)</t>
  </si>
  <si>
    <t xml:space="preserve">K-MARIS Energy &amp; Solutions Co., Ltd. </t>
  </si>
  <si>
    <t>Rm S09, #018, 11F Metro Tower, 856 Tongil-ro, Eunpyeong-gu, Seoul 03163, Republic of Korea</t>
    <phoneticPr fontId="7" type="noConversion"/>
  </si>
  <si>
    <t>Tel: +82-10-2957-2359 | sales@k-maris.com  |  www.k-maris.com</t>
    <phoneticPr fontId="7" type="noConversion"/>
  </si>
  <si>
    <t>Company Name</t>
    <phoneticPr fontId="7" type="noConversion"/>
  </si>
  <si>
    <t>Address</t>
    <phoneticPr fontId="7" type="noConversion"/>
  </si>
  <si>
    <t>e-mail</t>
    <phoneticPr fontId="7" type="noConversion"/>
  </si>
  <si>
    <t>Vessel / IMO No.</t>
    <phoneticPr fontId="7" type="noConversion"/>
  </si>
  <si>
    <t>PO No.</t>
    <phoneticPr fontId="7" type="noConversion"/>
  </si>
  <si>
    <t>Contact</t>
    <phoneticPr fontId="7" type="noConversion"/>
  </si>
  <si>
    <t>DECLARATION</t>
    <phoneticPr fontId="7" type="noConversion"/>
  </si>
  <si>
    <t>PROFORMA INVOICE</t>
    <phoneticPr fontId="7" type="noConversion"/>
  </si>
  <si>
    <t>Amount (USD)</t>
    <phoneticPr fontId="7" type="noConversion"/>
  </si>
  <si>
    <t>T/T in advance</t>
    <phoneticPr fontId="7" type="noConversion"/>
  </si>
  <si>
    <t>BANK INFORMATION</t>
    <phoneticPr fontId="7" type="noConversion"/>
  </si>
  <si>
    <t>Bank Name &amp; Address</t>
    <phoneticPr fontId="7" type="noConversion"/>
  </si>
  <si>
    <t>Swift Code</t>
    <phoneticPr fontId="7" type="noConversion"/>
  </si>
  <si>
    <t>Remittee's name</t>
    <phoneticPr fontId="7" type="noConversion"/>
  </si>
  <si>
    <t>Remittee's Account No.</t>
    <phoneticPr fontId="7" type="noConversion"/>
  </si>
  <si>
    <t>180-044-435675</t>
    <phoneticPr fontId="7" type="noConversion"/>
  </si>
  <si>
    <t>Shinhan Bank</t>
    <phoneticPr fontId="7" type="noConversion"/>
  </si>
  <si>
    <t>SHBKKRSE</t>
    <phoneticPr fontId="7" type="noConversion"/>
  </si>
  <si>
    <t xml:space="preserve">K-MARIS ENERGY &amp; SOLUTIONS CO., LTD. </t>
    <phoneticPr fontId="7" type="noConversion"/>
  </si>
  <si>
    <t>TBD</t>
    <phoneticPr fontId="7" type="noConversion"/>
  </si>
  <si>
    <t xml:space="preserve"> BUYER</t>
    <phoneticPr fontId="7" type="noConversion"/>
  </si>
  <si>
    <t>USD</t>
    <phoneticPr fontId="7" type="noConversion"/>
  </si>
  <si>
    <t>XINYUN(HONGKONG) LIMITED</t>
    <phoneticPr fontId="7" type="noConversion"/>
  </si>
  <si>
    <t>santiagozeng@xinyun-hk.com</t>
    <phoneticPr fontId="7" type="noConversion"/>
  </si>
  <si>
    <t>Santiago Zeng / HP: +86 181 1617 8193</t>
    <phoneticPr fontId="7" type="noConversion"/>
  </si>
  <si>
    <t>OFFICE NO.16, 28TH FLOOR HONG KONG PLAZA, NO.188 CONNAUGHT ROAD WEST HONG KONG, CHINA</t>
    <phoneticPr fontId="7" type="noConversion"/>
  </si>
  <si>
    <t>(1) 2engineers
(2) including flight tickets(round trip btw S.Korea and China) &amp; Accommodations (in China)
(3) Carrying cables(Maker: Samwoncable) with 2 engineers
- RU-Flex 4C*6sq / 50mtr - Same spec
- RU-Flex 20C*1.5sq / 20Mtr (required 16C but we offered 20C)
(4) Available working dates are 23rd and 24th of August
- Arrival on 22rd of August
- Departure on 25th of August
(5) Local transportation is excluded so it should be organized/served by the
customer</t>
    <phoneticPr fontId="7" type="noConversion"/>
  </si>
  <si>
    <t>Unit</t>
    <phoneticPr fontId="7" type="noConversion"/>
  </si>
  <si>
    <t>PCS</t>
    <phoneticPr fontId="7" type="noConversion"/>
  </si>
  <si>
    <t>SERVICE INFORMATION</t>
    <phoneticPr fontId="7" type="noConversion"/>
  </si>
  <si>
    <t>ALEKSEY KOSYGIN / 9904546</t>
    <phoneticPr fontId="7" type="noConversion"/>
  </si>
  <si>
    <t>Zhoushan, China</t>
    <phoneticPr fontId="7" type="noConversion"/>
  </si>
  <si>
    <t>Service Location</t>
    <phoneticPr fontId="7" type="noConversion"/>
  </si>
  <si>
    <t>Service Description</t>
    <phoneticPr fontId="7" type="noConversion"/>
  </si>
  <si>
    <t>Provision Crane Cable Replacement &amp; Cable Routing Modification</t>
    <phoneticPr fontId="7" type="noConversion"/>
  </si>
  <si>
    <t>Service Date</t>
    <phoneticPr fontId="7" type="noConversion"/>
  </si>
  <si>
    <t>TBD / On or before 01-Sep-2026</t>
    <phoneticPr fontId="7" type="noConversion"/>
  </si>
  <si>
    <t>Estimated Duration</t>
    <phoneticPr fontId="7" type="noConversion"/>
  </si>
  <si>
    <t>Vessel Schedule</t>
    <phoneticPr fontId="7" type="noConversion"/>
  </si>
  <si>
    <t>Local Agent</t>
    <phoneticPr fontId="7" type="noConversion"/>
  </si>
  <si>
    <t>Man Power</t>
    <phoneticPr fontId="7" type="noConversion"/>
  </si>
  <si>
    <t>2 Engineers</t>
    <phoneticPr fontId="7" type="noConversion"/>
  </si>
  <si>
    <t>2 Days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</si>
</sst>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dd/mmm/yyyy"/>
  </numFmts>
  <fonts count="18">
    <font>
      <sz val="11"/>
      <color theme="1"/>
      <name val="맑은 고딕"/>
      <family val="2"/>
      <scheme val="minor"/>
    </font>
    <font>
      <b/>
      <sz val="19"/>
      <color rgb="FF0B1D3A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9"/>
      <name val="Noto Sans KR"/>
      <family val="3"/>
      <charset val="129"/>
    </font>
    <font>
      <b/>
      <sz val="9"/>
      <name val="Noto Sans KR"/>
      <family val="3"/>
      <charset val="129"/>
    </font>
    <font>
      <b/>
      <sz val="9"/>
      <color rgb="FFFFFFFF"/>
      <name val="Noto Sans KR"/>
      <family val="3"/>
      <charset val="129"/>
    </font>
    <font>
      <b/>
      <sz val="11"/>
      <name val="Noto Sans KR"/>
      <family val="3"/>
      <charset val="129"/>
    </font>
    <font>
      <sz val="8"/>
      <name val="맑은 고딕"/>
      <family val="3"/>
      <charset val="129"/>
      <scheme val="minor"/>
    </font>
    <font>
      <sz val="11"/>
      <name val="Carlito"/>
    </font>
    <font>
      <sz val="24"/>
      <name val="Calibri"/>
      <family val="2"/>
    </font>
    <font>
      <sz val="11"/>
      <name val="Calibri"/>
      <family val="2"/>
    </font>
    <font>
      <sz val="9"/>
      <color theme="1"/>
      <name val="맑은 고딕"/>
      <family val="2"/>
      <scheme val="minor"/>
    </font>
    <font>
      <sz val="9"/>
      <name val="Calibri"/>
      <family val="2"/>
    </font>
    <font>
      <sz val="18"/>
      <name val="Calibri"/>
      <family val="2"/>
    </font>
    <font>
      <sz val="11"/>
      <color theme="1"/>
      <name val="맑은 고딕"/>
      <family val="2"/>
      <scheme val="minor"/>
    </font>
    <font>
      <sz val="9"/>
      <color theme="1"/>
      <name val="Noto Sans KR"/>
      <family val="3"/>
      <charset val="129"/>
    </font>
    <font>
      <sz val="9"/>
      <color rgb="FFFF0000"/>
      <name val="Noto Sans KR"/>
      <family val="3"/>
      <charset val="129"/>
    </font>
    <font>
      <sz val="11"/>
      <color rgb="FFFF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B66"/>
      </patternFill>
    </fill>
    <fill>
      <patternFill patternType="solid">
        <fgColor rgb="FFF4F6F8"/>
      </patternFill>
    </fill>
    <fill>
      <patternFill patternType="solid">
        <fgColor rgb="FF0B1D3A"/>
      </patternFill>
    </fill>
    <fill>
      <patternFill patternType="solid">
        <fgColor rgb="FFEAF3FF"/>
      </patternFill>
    </fill>
  </fills>
  <borders count="11">
    <border>
      <left/>
      <right/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/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/>
      <diagonal/>
    </border>
    <border>
      <left/>
      <right style="thin">
        <color rgb="FFC8D2E0"/>
      </right>
      <top/>
      <bottom/>
      <diagonal/>
    </border>
    <border>
      <left style="thin">
        <color rgb="FFC8D2E0"/>
      </left>
      <right/>
      <top style="thin">
        <color rgb="FFC8D2E0"/>
      </top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 style="thin">
        <color rgb="FFC8D2E0"/>
      </top>
      <bottom style="thin">
        <color rgb="FFC8D2E0"/>
      </bottom>
      <diagonal/>
    </border>
    <border>
      <left style="thin">
        <color rgb="FFC8D2E0"/>
      </left>
      <right style="thin">
        <color rgb="FFC8D2E0"/>
      </right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/>
      <diagonal/>
    </border>
    <border>
      <left style="thin">
        <color rgb="FFC8D2E0"/>
      </left>
      <right/>
      <top style="thin">
        <color rgb="FFC8D2E0"/>
      </top>
      <bottom/>
      <diagonal/>
    </border>
  </borders>
  <cellStyleXfs count="3">
    <xf numFmtId="0" fontId="0" fillId="0" borderId="0"/>
    <xf numFmtId="0" fontId="8" fillId="0" borderId="0"/>
    <xf numFmtId="41" fontId="14" fillId="0" borderId="0" applyFont="0" applyFill="0" applyBorder="0" applyAlignment="0" applyProtection="0">
      <alignment vertical="center"/>
    </xf>
  </cellStyleXfs>
  <cellXfs count="6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12" fillId="0" borderId="0" xfId="1" applyFont="1" applyAlignment="1">
      <alignment horizontal="center"/>
    </xf>
    <xf numFmtId="41" fontId="6" fillId="5" borderId="1" xfId="2" applyFont="1" applyFill="1" applyBorder="1" applyAlignment="1">
      <alignment horizontal="right" vertical="center"/>
    </xf>
    <xf numFmtId="0" fontId="12" fillId="0" borderId="0" xfId="1" applyFont="1"/>
    <xf numFmtId="0" fontId="11" fillId="0" borderId="0" xfId="0" applyFont="1"/>
    <xf numFmtId="41" fontId="12" fillId="0" borderId="0" xfId="2" applyFont="1" applyAlignment="1"/>
    <xf numFmtId="41" fontId="11" fillId="0" borderId="0" xfId="2" applyFont="1" applyAlignment="1"/>
    <xf numFmtId="41" fontId="12" fillId="0" borderId="0" xfId="2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41" fontId="0" fillId="0" borderId="1" xfId="2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3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0" fillId="0" borderId="8" xfId="0" applyBorder="1"/>
    <xf numFmtId="176" fontId="3" fillId="0" borderId="1" xfId="0" applyNumberFormat="1" applyFont="1" applyBorder="1" applyAlignment="1">
      <alignment horizontal="left" vertical="center" wrapText="1"/>
    </xf>
    <xf numFmtId="176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4" fillId="0" borderId="7" xfId="0" applyFont="1" applyBorder="1" applyAlignment="1">
      <alignment horizontal="left" vertical="center" wrapText="1"/>
    </xf>
    <xf numFmtId="0" fontId="0" fillId="0" borderId="7" xfId="0" applyBorder="1"/>
    <xf numFmtId="0" fontId="3" fillId="0" borderId="7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</cellXfs>
  <cellStyles count="3">
    <cellStyle name="Normal" xfId="1" xr:uid="{C05D073A-BF4C-4799-AC60-97F854463A5B}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655320</xdr:colOff>
      <xdr:row>31</xdr:row>
      <xdr:rowOff>281940</xdr:rowOff>
    </xdr:from>
    <xdr:ext cx="1238250" cy="41910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E22DA90-6604-4D94-BB67-274E82DFDE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7420" y="10362111"/>
          <a:ext cx="1238250" cy="419100"/>
        </a:xfrm>
        <a:prstGeom prst="rect">
          <a:avLst/>
        </a:prstGeom>
      </xdr:spPr>
    </xdr:pic>
    <xdr:clientData/>
  </xdr:oneCellAnchor>
  <xdr:oneCellAnchor>
    <xdr:from>
      <xdr:col>7</xdr:col>
      <xdr:colOff>190500</xdr:colOff>
      <xdr:row>31</xdr:row>
      <xdr:rowOff>91440</xdr:rowOff>
    </xdr:from>
    <xdr:ext cx="742950" cy="742950"/>
    <xdr:pic>
      <xdr:nvPicPr>
        <xdr:cNvPr id="3" name="Image 3" descr="Picture">
          <a:extLst>
            <a:ext uri="{FF2B5EF4-FFF2-40B4-BE49-F238E27FC236}">
              <a16:creationId xmlns:a16="http://schemas.microsoft.com/office/drawing/2014/main" id="{EB49A303-04B6-47C8-9198-CC663D9F1E0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41671" y="10171611"/>
          <a:ext cx="742950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129540</xdr:colOff>
      <xdr:row>0</xdr:row>
      <xdr:rowOff>45721</xdr:rowOff>
    </xdr:from>
    <xdr:to>
      <xdr:col>1</xdr:col>
      <xdr:colOff>1086119</xdr:colOff>
      <xdr:row>3</xdr:row>
      <xdr:rowOff>18508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55D1F5-AA06-4AC0-ADAD-A81BA7B6E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9" t="15345" r="64065" b="9523"/>
        <a:stretch>
          <a:fillRect/>
        </a:stretch>
      </xdr:blipFill>
      <xdr:spPr>
        <a:xfrm>
          <a:off x="586740" y="45721"/>
          <a:ext cx="956579" cy="800101"/>
        </a:xfrm>
        <a:prstGeom prst="rect">
          <a:avLst/>
        </a:prstGeom>
      </xdr:spPr>
    </xdr:pic>
    <xdr:clientData/>
  </xdr:twoCellAnchor>
  <xdr:twoCellAnchor editAs="oneCell">
    <xdr:from>
      <xdr:col>6</xdr:col>
      <xdr:colOff>872879</xdr:colOff>
      <xdr:row>0</xdr:row>
      <xdr:rowOff>289561</xdr:rowOff>
    </xdr:from>
    <xdr:to>
      <xdr:col>7</xdr:col>
      <xdr:colOff>1124109</xdr:colOff>
      <xdr:row>0</xdr:row>
      <xdr:rowOff>459673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742930-BEB8-47C9-AB01-9709ECCB3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7250" y="289561"/>
          <a:ext cx="1318030" cy="170112"/>
        </a:xfrm>
        <a:prstGeom prst="rect">
          <a:avLst/>
        </a:prstGeom>
      </xdr:spPr>
    </xdr:pic>
    <xdr:clientData/>
  </xdr:twoCellAnchor>
  <xdr:twoCellAnchor editAs="oneCell">
    <xdr:from>
      <xdr:col>6</xdr:col>
      <xdr:colOff>868680</xdr:colOff>
      <xdr:row>0</xdr:row>
      <xdr:rowOff>464977</xdr:rowOff>
    </xdr:from>
    <xdr:to>
      <xdr:col>7</xdr:col>
      <xdr:colOff>1161507</xdr:colOff>
      <xdr:row>1</xdr:row>
      <xdr:rowOff>155012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1D9279-C0DC-4FD2-82D1-BFD5AB6F4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53051" y="464977"/>
          <a:ext cx="1359627" cy="158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915-E4D8-4001-BCE4-D14DFCDA16BE}">
  <sheetPr>
    <pageSetUpPr fitToPage="1"/>
  </sheetPr>
  <dimension ref="A1:S34"/>
  <sheetViews>
    <sheetView showGridLines="0" tabSelected="1" view="pageBreakPreview" topLeftCell="A25" zoomScaleNormal="100" zoomScaleSheetLayoutView="100" workbookViewId="0">
      <selection activeCell="L35" sqref="L35"/>
    </sheetView>
  </sheetViews>
  <sheetFormatPr defaultRowHeight="17.600000000000001"/>
  <cols>
    <col min="1" max="1" width="6" customWidth="1"/>
    <col min="2" max="2" width="14.5" customWidth="1"/>
    <col min="3" max="3" width="19.28515625" customWidth="1"/>
    <col min="4" max="4" width="13.5" customWidth="1"/>
    <col min="5" max="5" width="12" customWidth="1"/>
    <col min="6" max="6" width="8" customWidth="1"/>
    <col min="7" max="7" width="14" customWidth="1"/>
    <col min="8" max="8" width="18.28515625" customWidth="1"/>
    <col min="10" max="10" width="8.78515625" style="10"/>
    <col min="11" max="11" width="9.5703125" style="12" bestFit="1" customWidth="1"/>
    <col min="12" max="12" width="8.78515625" style="12"/>
    <col min="13" max="13" width="13.78515625" style="12" customWidth="1"/>
    <col min="14" max="14" width="8.78515625" style="12"/>
    <col min="15" max="15" width="8.78515625" style="10"/>
  </cols>
  <sheetData>
    <row r="1" spans="1:19" ht="37.200000000000003" customHeight="1">
      <c r="A1" s="22" t="s">
        <v>12</v>
      </c>
      <c r="B1" s="22"/>
      <c r="C1" s="22"/>
      <c r="D1" s="22"/>
      <c r="E1" s="22"/>
      <c r="F1" s="22"/>
      <c r="G1" s="22"/>
      <c r="H1" s="22"/>
      <c r="I1" s="5"/>
      <c r="J1" s="9"/>
      <c r="K1" s="11"/>
      <c r="L1" s="11"/>
    </row>
    <row r="2" spans="1:19" ht="14.15" customHeight="1">
      <c r="A2" s="23" t="s">
        <v>13</v>
      </c>
      <c r="B2" s="23"/>
      <c r="C2" s="23"/>
      <c r="D2" s="23"/>
      <c r="E2" s="23"/>
      <c r="F2" s="23"/>
      <c r="G2" s="23"/>
      <c r="H2" s="23"/>
      <c r="I2" s="6"/>
      <c r="J2" s="9"/>
      <c r="K2" s="11"/>
      <c r="L2" s="11"/>
    </row>
    <row r="3" spans="1:19" ht="14.15" customHeight="1">
      <c r="A3" s="23" t="s">
        <v>14</v>
      </c>
      <c r="B3" s="23"/>
      <c r="C3" s="23"/>
      <c r="D3" s="23"/>
      <c r="E3" s="23"/>
      <c r="F3" s="23"/>
      <c r="G3" s="23"/>
      <c r="H3" s="23"/>
      <c r="I3" s="6"/>
      <c r="J3" s="9"/>
      <c r="K3" s="11"/>
      <c r="L3" s="11"/>
      <c r="P3" s="18"/>
      <c r="Q3" s="31"/>
      <c r="R3" s="31"/>
      <c r="S3" s="31"/>
    </row>
    <row r="4" spans="1:19" ht="15.65" customHeight="1">
      <c r="A4" s="32"/>
      <c r="B4" s="32"/>
      <c r="C4" s="32"/>
      <c r="D4" s="32"/>
      <c r="E4" s="32"/>
      <c r="F4" s="32"/>
      <c r="G4" s="32"/>
      <c r="H4" s="32"/>
      <c r="I4" s="4"/>
      <c r="J4" s="7"/>
      <c r="K4" s="13"/>
      <c r="L4" s="13"/>
      <c r="P4" s="1"/>
      <c r="Q4" s="3"/>
      <c r="R4" s="3"/>
      <c r="S4" s="3"/>
    </row>
    <row r="5" spans="1:19" ht="30" customHeight="1">
      <c r="A5" s="28" t="s">
        <v>22</v>
      </c>
      <c r="B5" s="29"/>
      <c r="C5" s="29"/>
      <c r="D5" s="29"/>
      <c r="E5" s="29"/>
      <c r="F5" s="29"/>
      <c r="G5" s="29"/>
      <c r="H5" s="29"/>
    </row>
    <row r="6" spans="1:19" ht="13.85" customHeight="1"/>
    <row r="7" spans="1:19">
      <c r="A7" s="24"/>
      <c r="B7" s="25"/>
      <c r="C7" s="25"/>
      <c r="D7" s="25"/>
      <c r="E7" s="16" t="s">
        <v>0</v>
      </c>
      <c r="F7" s="17"/>
      <c r="G7" s="33"/>
      <c r="H7" s="34"/>
    </row>
    <row r="8" spans="1:19">
      <c r="A8" s="24"/>
      <c r="B8" s="25"/>
      <c r="C8" s="25"/>
      <c r="D8" s="25"/>
      <c r="E8" s="16" t="s">
        <v>1</v>
      </c>
      <c r="F8" s="17"/>
      <c r="G8" s="26">
        <v>46255</v>
      </c>
      <c r="H8" s="27"/>
    </row>
    <row r="9" spans="1:19">
      <c r="A9" s="35"/>
      <c r="B9" s="35"/>
      <c r="C9" s="35"/>
      <c r="D9" s="36"/>
      <c r="E9" s="16" t="s">
        <v>19</v>
      </c>
      <c r="F9" s="17"/>
      <c r="G9" s="37"/>
      <c r="H9" s="38"/>
    </row>
    <row r="10" spans="1:19">
      <c r="A10" s="39"/>
      <c r="B10" s="40"/>
      <c r="C10" s="40"/>
      <c r="D10" s="40"/>
      <c r="E10" s="41"/>
      <c r="F10" s="42"/>
      <c r="G10" s="43"/>
      <c r="H10" s="42"/>
    </row>
    <row r="11" spans="1:19" ht="17.399999999999999" customHeight="1">
      <c r="A11" s="19" t="s">
        <v>35</v>
      </c>
      <c r="B11" s="20"/>
      <c r="C11" s="20"/>
      <c r="D11" s="20"/>
      <c r="E11" s="20"/>
      <c r="F11" s="20"/>
      <c r="G11" s="20"/>
      <c r="H11" s="21"/>
    </row>
    <row r="12" spans="1:19" ht="47.4" customHeight="1">
      <c r="A12" s="16" t="s">
        <v>15</v>
      </c>
      <c r="B12" s="17"/>
      <c r="C12" s="18" t="s">
        <v>37</v>
      </c>
      <c r="D12" s="18"/>
      <c r="E12" s="16" t="s">
        <v>16</v>
      </c>
      <c r="F12" s="17"/>
      <c r="G12" s="18" t="s">
        <v>40</v>
      </c>
      <c r="H12" s="18"/>
    </row>
    <row r="13" spans="1:19" ht="18.649999999999999" customHeight="1">
      <c r="A13" s="16" t="s">
        <v>20</v>
      </c>
      <c r="B13" s="17"/>
      <c r="C13" s="18" t="s">
        <v>39</v>
      </c>
      <c r="D13" s="18"/>
      <c r="E13" s="16" t="s">
        <v>17</v>
      </c>
      <c r="F13" s="17"/>
      <c r="G13" s="44" t="s">
        <v>38</v>
      </c>
      <c r="H13" s="44"/>
    </row>
    <row r="14" spans="1:19" ht="17.399999999999999" customHeight="1">
      <c r="A14" s="30"/>
      <c r="B14" s="30"/>
      <c r="C14" s="30"/>
      <c r="D14" s="30"/>
      <c r="E14" s="30"/>
      <c r="F14" s="30"/>
      <c r="G14" s="30"/>
      <c r="H14" s="30"/>
    </row>
    <row r="15" spans="1:19">
      <c r="A15" s="45" t="s">
        <v>44</v>
      </c>
      <c r="B15" s="46"/>
      <c r="C15" s="46"/>
      <c r="D15" s="46"/>
      <c r="E15" s="46"/>
      <c r="F15" s="46"/>
      <c r="G15" s="46"/>
      <c r="H15" s="46"/>
    </row>
    <row r="16" spans="1:19" ht="34.200000000000003" customHeight="1">
      <c r="A16" s="16" t="s">
        <v>18</v>
      </c>
      <c r="B16" s="17"/>
      <c r="C16" s="18" t="s">
        <v>45</v>
      </c>
      <c r="D16" s="17"/>
      <c r="E16" s="16" t="s">
        <v>48</v>
      </c>
      <c r="F16" s="17"/>
      <c r="G16" s="18" t="s">
        <v>49</v>
      </c>
      <c r="H16" s="47"/>
    </row>
    <row r="17" spans="1:8">
      <c r="A17" s="16" t="s">
        <v>47</v>
      </c>
      <c r="B17" s="17"/>
      <c r="C17" s="18" t="s">
        <v>46</v>
      </c>
      <c r="D17" s="17"/>
      <c r="E17" s="16" t="s">
        <v>55</v>
      </c>
      <c r="F17" s="17"/>
      <c r="G17" s="18" t="s">
        <v>56</v>
      </c>
      <c r="H17" s="47"/>
    </row>
    <row r="18" spans="1:8">
      <c r="A18" s="16" t="s">
        <v>50</v>
      </c>
      <c r="B18" s="17"/>
      <c r="C18" s="18" t="s">
        <v>51</v>
      </c>
      <c r="D18" s="47"/>
      <c r="E18" s="16" t="s">
        <v>52</v>
      </c>
      <c r="F18" s="17"/>
      <c r="G18" s="18" t="s">
        <v>57</v>
      </c>
      <c r="H18" s="47"/>
    </row>
    <row r="19" spans="1:8">
      <c r="A19" s="16" t="s">
        <v>53</v>
      </c>
      <c r="B19" s="17"/>
      <c r="C19" s="18" t="s">
        <v>34</v>
      </c>
      <c r="D19" s="17"/>
      <c r="E19" s="16" t="s">
        <v>54</v>
      </c>
      <c r="F19" s="17"/>
      <c r="G19" s="18" t="s">
        <v>34</v>
      </c>
      <c r="H19" s="17"/>
    </row>
    <row r="20" spans="1:8">
      <c r="A20" s="16" t="s">
        <v>3</v>
      </c>
      <c r="B20" s="17"/>
      <c r="C20" s="18" t="s">
        <v>36</v>
      </c>
      <c r="D20" s="17"/>
      <c r="E20" s="16" t="s">
        <v>2</v>
      </c>
      <c r="F20" s="17"/>
      <c r="G20" s="18" t="s">
        <v>24</v>
      </c>
      <c r="H20" s="17"/>
    </row>
    <row r="21" spans="1:8">
      <c r="A21" s="41"/>
      <c r="B21" s="42"/>
      <c r="C21" s="43"/>
      <c r="D21" s="42"/>
      <c r="E21" s="41"/>
      <c r="F21" s="42"/>
      <c r="G21" s="43"/>
      <c r="H21" s="42"/>
    </row>
    <row r="22" spans="1:8" ht="24" customHeight="1">
      <c r="A22" s="2" t="s">
        <v>4</v>
      </c>
      <c r="B22" s="48" t="s">
        <v>5</v>
      </c>
      <c r="C22" s="49"/>
      <c r="D22" s="50"/>
      <c r="E22" s="2" t="s">
        <v>6</v>
      </c>
      <c r="F22" s="2" t="s">
        <v>42</v>
      </c>
      <c r="G22" s="2" t="s">
        <v>7</v>
      </c>
      <c r="H22" s="2" t="s">
        <v>23</v>
      </c>
    </row>
    <row r="23" spans="1:8" ht="259.85000000000002" customHeight="1">
      <c r="A23" s="14">
        <v>1</v>
      </c>
      <c r="B23" s="51" t="s">
        <v>41</v>
      </c>
      <c r="C23" s="52"/>
      <c r="D23" s="53"/>
      <c r="E23" s="14">
        <v>1</v>
      </c>
      <c r="F23" s="14" t="s">
        <v>43</v>
      </c>
      <c r="G23" s="15">
        <v>10500</v>
      </c>
      <c r="H23" s="15">
        <f>E23*G23</f>
        <v>10500</v>
      </c>
    </row>
    <row r="24" spans="1:8" ht="18" customHeight="1">
      <c r="A24" s="54" t="s">
        <v>8</v>
      </c>
      <c r="B24" s="55"/>
      <c r="C24" s="55"/>
      <c r="D24" s="55"/>
      <c r="E24" s="55"/>
      <c r="F24" s="55"/>
      <c r="G24" s="56"/>
      <c r="H24" s="8">
        <f>SUM(H23)</f>
        <v>10500</v>
      </c>
    </row>
    <row r="26" spans="1:8">
      <c r="A26" s="45" t="s">
        <v>25</v>
      </c>
      <c r="B26" s="46"/>
      <c r="C26" s="46"/>
      <c r="D26" s="46"/>
      <c r="E26" s="46"/>
      <c r="F26" s="46"/>
      <c r="G26" s="46"/>
      <c r="H26" s="46"/>
    </row>
    <row r="27" spans="1:8">
      <c r="A27" s="60" t="s">
        <v>28</v>
      </c>
      <c r="B27" s="61"/>
      <c r="C27" s="64" t="s">
        <v>33</v>
      </c>
      <c r="D27" s="65"/>
      <c r="E27" s="62" t="s">
        <v>26</v>
      </c>
      <c r="F27" s="63"/>
      <c r="G27" s="64" t="s">
        <v>31</v>
      </c>
      <c r="H27" s="65"/>
    </row>
    <row r="28" spans="1:8">
      <c r="A28" s="60" t="s">
        <v>27</v>
      </c>
      <c r="B28" s="61"/>
      <c r="C28" s="64" t="s">
        <v>32</v>
      </c>
      <c r="D28" s="65"/>
      <c r="E28" s="62" t="s">
        <v>29</v>
      </c>
      <c r="F28" s="63"/>
      <c r="G28" s="64" t="s">
        <v>30</v>
      </c>
      <c r="H28" s="65"/>
    </row>
    <row r="29" spans="1:8">
      <c r="A29" s="45" t="s">
        <v>21</v>
      </c>
      <c r="B29" s="46"/>
      <c r="C29" s="46"/>
      <c r="D29" s="46"/>
      <c r="E29" s="46"/>
      <c r="F29" s="46"/>
      <c r="G29" s="46"/>
      <c r="H29" s="46"/>
    </row>
    <row r="30" spans="1:8">
      <c r="A30" s="57" t="s">
        <v>9</v>
      </c>
      <c r="B30" s="58"/>
      <c r="C30" s="58"/>
      <c r="D30" s="58"/>
      <c r="E30" s="58"/>
      <c r="F30" s="58"/>
      <c r="G30" s="58"/>
      <c r="H30" s="59"/>
    </row>
    <row r="32" spans="1:8" ht="28.1" customHeight="1">
      <c r="A32" s="66" t="s">
        <v>10</v>
      </c>
      <c r="B32" s="17"/>
      <c r="C32" s="17"/>
      <c r="D32" s="17"/>
      <c r="E32" s="66" t="s">
        <v>11</v>
      </c>
      <c r="F32" s="17"/>
      <c r="G32" s="17"/>
      <c r="H32" s="17"/>
    </row>
    <row r="33" spans="1:8" ht="20.149999999999999" customHeight="1">
      <c r="A33" s="17"/>
      <c r="B33" s="17"/>
      <c r="C33" s="17"/>
      <c r="D33" s="17"/>
      <c r="E33" s="17"/>
      <c r="F33" s="17"/>
      <c r="G33" s="17"/>
      <c r="H33" s="17"/>
    </row>
    <row r="34" spans="1:8" ht="21" customHeight="1">
      <c r="A34" s="17"/>
      <c r="B34" s="17"/>
      <c r="C34" s="17"/>
      <c r="D34" s="17"/>
      <c r="E34" s="17"/>
      <c r="F34" s="17"/>
      <c r="G34" s="17"/>
      <c r="H34" s="17"/>
    </row>
  </sheetData>
  <mergeCells count="69">
    <mergeCell ref="A32:D34"/>
    <mergeCell ref="E32:H34"/>
    <mergeCell ref="A28:B28"/>
    <mergeCell ref="C28:D28"/>
    <mergeCell ref="E28:F28"/>
    <mergeCell ref="G28:H28"/>
    <mergeCell ref="B22:D22"/>
    <mergeCell ref="B23:D23"/>
    <mergeCell ref="A24:G24"/>
    <mergeCell ref="A29:H29"/>
    <mergeCell ref="A30:H30"/>
    <mergeCell ref="A27:B27"/>
    <mergeCell ref="E27:F27"/>
    <mergeCell ref="C27:D27"/>
    <mergeCell ref="G27:H27"/>
    <mergeCell ref="A26:H26"/>
    <mergeCell ref="A21:B21"/>
    <mergeCell ref="C21:D21"/>
    <mergeCell ref="E21:F21"/>
    <mergeCell ref="G21:H21"/>
    <mergeCell ref="A19:B19"/>
    <mergeCell ref="E19:F19"/>
    <mergeCell ref="G19:H19"/>
    <mergeCell ref="C19:D19"/>
    <mergeCell ref="A18:B18"/>
    <mergeCell ref="C18:D18"/>
    <mergeCell ref="E18:F18"/>
    <mergeCell ref="G18:H18"/>
    <mergeCell ref="A20:B20"/>
    <mergeCell ref="C20:D20"/>
    <mergeCell ref="E20:F20"/>
    <mergeCell ref="G20:H20"/>
    <mergeCell ref="A15:H15"/>
    <mergeCell ref="A17:B17"/>
    <mergeCell ref="C17:D17"/>
    <mergeCell ref="E17:F17"/>
    <mergeCell ref="G17:H17"/>
    <mergeCell ref="A16:B16"/>
    <mergeCell ref="C16:D16"/>
    <mergeCell ref="E16:F16"/>
    <mergeCell ref="G16:H16"/>
    <mergeCell ref="A14:H14"/>
    <mergeCell ref="P3:S3"/>
    <mergeCell ref="A4:H4"/>
    <mergeCell ref="A7:D7"/>
    <mergeCell ref="E7:F7"/>
    <mergeCell ref="G7:H7"/>
    <mergeCell ref="A9:D9"/>
    <mergeCell ref="E9:F9"/>
    <mergeCell ref="G9:H9"/>
    <mergeCell ref="A10:D10"/>
    <mergeCell ref="E10:F10"/>
    <mergeCell ref="G10:H10"/>
    <mergeCell ref="A13:B13"/>
    <mergeCell ref="C13:D13"/>
    <mergeCell ref="E13:F13"/>
    <mergeCell ref="G13:H13"/>
    <mergeCell ref="A1:H1"/>
    <mergeCell ref="A2:H2"/>
    <mergeCell ref="A3:H3"/>
    <mergeCell ref="A8:D8"/>
    <mergeCell ref="E8:F8"/>
    <mergeCell ref="G8:H8"/>
    <mergeCell ref="A5:H5"/>
    <mergeCell ref="A12:B12"/>
    <mergeCell ref="C12:D12"/>
    <mergeCell ref="E12:F12"/>
    <mergeCell ref="G12:H12"/>
    <mergeCell ref="A11:H11"/>
  </mergeCells>
  <phoneticPr fontId="7" type="noConversion"/>
  <printOptions horizontalCentered="1"/>
  <pageMargins left="0.23622047244094491" right="0.23622047244094491" top="0.70866141732283472" bottom="0.31496062992125984" header="0.51181102362204722" footer="0.51181102362204722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Proforma Invoice</vt:lpstr>
      <vt:lpstr>'Proforma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sungyeon cho</cp:lastModifiedBy>
  <cp:lastPrinted>2026-08-05T05:32:42Z</cp:lastPrinted>
  <dcterms:created xsi:type="dcterms:W3CDTF">2026-07-15T06:28:34Z</dcterms:created>
  <dcterms:modified xsi:type="dcterms:W3CDTF">2026-08-21T12:32:54Z</dcterms:modified>
</cp:coreProperties>
</file>