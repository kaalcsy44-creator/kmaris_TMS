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Workspace\Kmaris_TMS\ktms\config\templates\"/>
    </mc:Choice>
  </mc:AlternateContent>
  <xr:revisionPtr revIDLastSave="0" documentId="8_{01CC5E7E-B0B4-4855-A6C4-6D57D0D679A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Quotation" sheetId="1" r:id="rId1"/>
  </sheets>
  <definedNames>
    <definedName name="_xlnm.Print_Area" localSheetId="0">Quotation!$A$1:$L$51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I15" i="1" s="1"/>
  <c r="N14" i="1"/>
  <c r="I14" i="1" s="1"/>
  <c r="J15" i="1" l="1"/>
  <c r="G15" i="1"/>
  <c r="G14" i="1"/>
  <c r="J14" i="1"/>
  <c r="G19" i="1" l="1"/>
  <c r="J19" i="1"/>
</calcChain>
</file>

<file path=xl/sharedStrings.xml><?xml version="1.0" encoding="utf-8"?>
<sst xmlns="http://schemas.openxmlformats.org/spreadsheetml/2006/main" count="62" uniqueCount="60">
  <si>
    <t>User</t>
  </si>
  <si>
    <t>Quotation No.</t>
  </si>
  <si>
    <t>Messrs</t>
  </si>
  <si>
    <t>Ref. No.</t>
  </si>
  <si>
    <t>Attn.</t>
  </si>
  <si>
    <t>Date</t>
  </si>
  <si>
    <t>Ship Name</t>
  </si>
  <si>
    <t>Currency</t>
  </si>
  <si>
    <t>Project</t>
  </si>
  <si>
    <t>VAT</t>
  </si>
  <si>
    <t>VAT excluded</t>
  </si>
  <si>
    <t>PURCHASE (internal, KRW)</t>
  </si>
  <si>
    <t>No.</t>
  </si>
  <si>
    <t>Part No.</t>
  </si>
  <si>
    <t>Description</t>
  </si>
  <si>
    <t>Qty</t>
  </si>
  <si>
    <t>Unit</t>
  </si>
  <si>
    <t>Cost U/P</t>
  </si>
  <si>
    <t>Cost Amount</t>
  </si>
  <si>
    <t>Margin %</t>
  </si>
  <si>
    <t>U/Price</t>
  </si>
  <si>
    <t>Amount</t>
  </si>
  <si>
    <t>Lead Time</t>
  </si>
  <si>
    <t>Remark</t>
  </si>
  <si>
    <t>PC</t>
  </si>
  <si>
    <t>Total</t>
  </si>
  <si>
    <t>Terms &amp; Conditions</t>
  </si>
  <si>
    <t>• Quotation validity: 30 days from quotation date.</t>
  </si>
  <si>
    <t>• Price, availability, and delivery time are subject to final confirmation upon order placement.</t>
  </si>
  <si>
    <t>• Delivery term: EXW (Ex Works) Busan, Republic of Korea, Incoterms 2020.</t>
  </si>
  <si>
    <t>• Freight, customs duty, local tax, and other logistics charges are excluded unless otherwise stated.</t>
  </si>
  <si>
    <t>• Buyer to confirm part number, description, quantity, engine type, and technical suitability before order.</t>
  </si>
  <si>
    <t>• Certificates are excluded unless specifically stated.</t>
  </si>
  <si>
    <t>• Cancellation or return may not be accepted after order confirmation, especially for specially ordered or non-stock items.</t>
  </si>
  <si>
    <t>• Warranty follows 6 months from delivery.</t>
  </si>
  <si>
    <t>• The unit price suggested is based on the complete order with complete quantities. In case of reduction for qty, it may constitute a variation to the contract, subject to mutual agreement.</t>
  </si>
  <si>
    <t>Payment</t>
  </si>
  <si>
    <t>We hope this quotation meets your requirement and to receive your order confirmation at your earliest convenience.</t>
  </si>
  <si>
    <t>Your sincerely</t>
  </si>
  <si>
    <t>Sam Cho, Managing Director</t>
  </si>
  <si>
    <t>K-MARIS Energy &amp; Solutions | Seoul, Korea | www.k-maris.com</t>
  </si>
  <si>
    <t>• T/T in advance</t>
    <phoneticPr fontId="3" type="noConversion"/>
  </si>
  <si>
    <t>• Payment term: T/T in advance</t>
    <phoneticPr fontId="3" type="noConversion"/>
  </si>
  <si>
    <t>Remarks</t>
    <phoneticPr fontId="3" type="noConversion"/>
  </si>
  <si>
    <t xml:space="preserve">K-MARIS Energy &amp; Solutions Co., Ltd. </t>
  </si>
  <si>
    <t>Rm S09, #018, 11F Metro Tower, 856 Tongil-ro, Eunpyeong-gu, Seoul 03163, Republic of Korea</t>
    <phoneticPr fontId="3" type="noConversion"/>
  </si>
  <si>
    <t>Tel: +82-10-2957-2359  |  sales@k-maris.com  |  www.k-maris.com</t>
    <phoneticPr fontId="3" type="noConversion"/>
  </si>
  <si>
    <t>QUOTATION / COSTING SHEET</t>
    <phoneticPr fontId="3" type="noConversion"/>
  </si>
  <si>
    <t>KMS-QUO-2607-007</t>
    <phoneticPr fontId="3" type="noConversion"/>
  </si>
  <si>
    <t>Everhonest</t>
    <phoneticPr fontId="3" type="noConversion"/>
  </si>
  <si>
    <t>Mr.</t>
    <phoneticPr fontId="3" type="noConversion"/>
  </si>
  <si>
    <t>Girish</t>
    <phoneticPr fontId="3" type="noConversion"/>
  </si>
  <si>
    <t>HOLSATIA</t>
    <phoneticPr fontId="3" type="noConversion"/>
  </si>
  <si>
    <t>ME starting air valve spares (Ball valve and actuator)</t>
    <phoneticPr fontId="3" type="noConversion"/>
  </si>
  <si>
    <t>USD</t>
    <phoneticPr fontId="3" type="noConversion"/>
  </si>
  <si>
    <t>Main Starting Valve (Ball Valve &amp; Actuator) complete assembly  Make Mt.H HBB-150 &amp;HAP-150</t>
    <phoneticPr fontId="3" type="noConversion"/>
  </si>
  <si>
    <t>Repair Kit for Main Starting Ball valve 
(with complete seal set)</t>
    <phoneticPr fontId="3" type="noConversion"/>
  </si>
  <si>
    <t>2days</t>
    <phoneticPr fontId="3" type="noConversion"/>
  </si>
  <si>
    <t xml:space="preserve">• </t>
    <phoneticPr fontId="3" type="noConversion"/>
  </si>
  <si>
    <t>Ball Valve with actuator kit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</si>
</sst>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&quot;%&quot;"/>
  </numFmts>
  <fonts count="22">
    <font>
      <sz val="11"/>
      <color theme="1"/>
      <name val="맑은 고딕"/>
      <family val="2"/>
      <scheme val="minor"/>
    </font>
    <font>
      <b/>
      <sz val="9"/>
      <name val="Calibri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4"/>
      <name val="Calibri"/>
      <family val="2"/>
    </font>
    <font>
      <sz val="14"/>
      <color theme="1"/>
      <name val="맑은 고딕"/>
      <family val="3"/>
      <charset val="129"/>
      <scheme val="minor"/>
    </font>
    <font>
      <sz val="11"/>
      <name val="Carlito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9"/>
      <name val="Noto Sans KR"/>
      <family val="3"/>
      <charset val="129"/>
    </font>
    <font>
      <sz val="9"/>
      <color theme="1"/>
      <name val="맑은 고딕"/>
      <family val="2"/>
      <scheme val="minor"/>
    </font>
    <font>
      <sz val="10"/>
      <name val="Calibri"/>
      <family val="2"/>
    </font>
    <font>
      <sz val="24"/>
      <name val="Calibri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FFFF"/>
      <name val="Calibri"/>
      <family val="2"/>
    </font>
    <font>
      <b/>
      <sz val="26"/>
      <color theme="3"/>
      <name val="Calibri"/>
      <family val="2"/>
    </font>
    <font>
      <sz val="26"/>
      <color theme="3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D3A"/>
      </patternFill>
    </fill>
    <fill>
      <patternFill patternType="solid">
        <fgColor rgb="FFF4F6F8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/>
  </cellStyleXfs>
  <cellXfs count="50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right" vertical="center"/>
    </xf>
    <xf numFmtId="9" fontId="0" fillId="4" borderId="1" xfId="2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5" borderId="1" xfId="0" applyFont="1" applyFill="1" applyBorder="1"/>
    <xf numFmtId="0" fontId="8" fillId="5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41" fontId="0" fillId="0" borderId="1" xfId="1" applyFont="1" applyFill="1" applyBorder="1" applyAlignment="1">
      <alignment horizontal="right" vertical="center"/>
    </xf>
    <xf numFmtId="41" fontId="7" fillId="5" borderId="1" xfId="1" applyFont="1" applyFill="1" applyBorder="1" applyAlignment="1">
      <alignment horizontal="right" vertical="center"/>
    </xf>
    <xf numFmtId="41" fontId="7" fillId="6" borderId="1" xfId="1" applyFont="1" applyFill="1" applyBorder="1" applyAlignment="1">
      <alignment horizontal="right" vertical="center"/>
    </xf>
    <xf numFmtId="0" fontId="10" fillId="0" borderId="0" xfId="3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/>
    <xf numFmtId="41" fontId="0" fillId="0" borderId="1" xfId="1" applyFont="1" applyFill="1" applyBorder="1" applyAlignment="1">
      <alignment horizontal="right" vertical="center" wrapText="1"/>
    </xf>
    <xf numFmtId="0" fontId="17" fillId="0" borderId="0" xfId="0" applyFont="1"/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2" fillId="0" borderId="4" xfId="0" applyFont="1" applyBorder="1"/>
    <xf numFmtId="0" fontId="17" fillId="0" borderId="4" xfId="0" applyFont="1" applyBorder="1"/>
    <xf numFmtId="0" fontId="16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/>
    <xf numFmtId="0" fontId="0" fillId="0" borderId="6" xfId="0" applyBorder="1"/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9" fillId="2" borderId="0" xfId="0" applyFont="1" applyFill="1" applyAlignment="1">
      <alignment horizontal="left" vertical="center" wrapText="1"/>
    </xf>
    <xf numFmtId="0" fontId="17" fillId="2" borderId="0" xfId="0" applyFont="1" applyFill="1"/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7" fillId="0" borderId="0" xfId="0" applyFont="1"/>
    <xf numFmtId="0" fontId="15" fillId="0" borderId="0" xfId="0" applyFont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/>
    <xf numFmtId="14" fontId="17" fillId="0" borderId="1" xfId="0" applyNumberFormat="1" applyFont="1" applyBorder="1" applyAlignment="1">
      <alignment horizontal="left" vertical="center" wrapText="1"/>
    </xf>
  </cellXfs>
  <cellStyles count="4">
    <cellStyle name="Normal" xfId="3" xr:uid="{D3D0AE0F-9D3D-43D8-987C-6EF2E69AFBB9}"/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108857</xdr:colOff>
      <xdr:row>46</xdr:row>
      <xdr:rowOff>96050</xdr:rowOff>
    </xdr:from>
    <xdr:ext cx="1428750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857" y="12108756"/>
          <a:ext cx="1428750" cy="495300"/>
        </a:xfrm>
        <a:prstGeom prst="rect">
          <a:avLst/>
        </a:prstGeom>
      </xdr:spPr>
    </xdr:pic>
    <xdr:clientData/>
  </xdr:oneCellAnchor>
  <xdr:twoCellAnchor editAs="oneCell">
    <xdr:from>
      <xdr:col>1</xdr:col>
      <xdr:colOff>1293477</xdr:colOff>
      <xdr:row>0</xdr:row>
      <xdr:rowOff>108861</xdr:rowOff>
    </xdr:from>
    <xdr:to>
      <xdr:col>2</xdr:col>
      <xdr:colOff>1005325</xdr:colOff>
      <xdr:row>3</xdr:row>
      <xdr:rowOff>44827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D6A3F70-99AC-EBAC-E533-20C898F0F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1677678" y="108861"/>
          <a:ext cx="1082168" cy="909277"/>
        </a:xfrm>
        <a:prstGeom prst="rect">
          <a:avLst/>
        </a:prstGeom>
      </xdr:spPr>
    </xdr:pic>
    <xdr:clientData/>
  </xdr:twoCellAnchor>
  <xdr:twoCellAnchor editAs="oneCell">
    <xdr:from>
      <xdr:col>10</xdr:col>
      <xdr:colOff>338234</xdr:colOff>
      <xdr:row>0</xdr:row>
      <xdr:rowOff>322681</xdr:rowOff>
    </xdr:from>
    <xdr:to>
      <xdr:col>11</xdr:col>
      <xdr:colOff>1036612</xdr:colOff>
      <xdr:row>0</xdr:row>
      <xdr:rowOff>562762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BC3922A-108E-282C-FB4A-279860F75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8220" y="322681"/>
          <a:ext cx="1765178" cy="2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318795</xdr:colOff>
      <xdr:row>0</xdr:row>
      <xdr:rowOff>559057</xdr:rowOff>
    </xdr:from>
    <xdr:to>
      <xdr:col>11</xdr:col>
      <xdr:colOff>1073021</xdr:colOff>
      <xdr:row>1</xdr:row>
      <xdr:rowOff>159630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41A2F65-238A-51E3-CC2A-935D60B99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68781" y="559057"/>
          <a:ext cx="1821026" cy="226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"/>
  <sheetViews>
    <sheetView showGridLines="0" tabSelected="1" view="pageBreakPreview" zoomScale="70" zoomScaleNormal="85" zoomScaleSheetLayoutView="70" workbookViewId="0">
      <selection activeCell="O13" sqref="O13"/>
    </sheetView>
  </sheetViews>
  <sheetFormatPr defaultRowHeight="17.600000000000001"/>
  <cols>
    <col min="1" max="1" width="5" customWidth="1"/>
    <col min="2" max="2" width="18" customWidth="1"/>
    <col min="3" max="3" width="38.85546875" customWidth="1"/>
    <col min="4" max="5" width="7" customWidth="1"/>
    <col min="6" max="6" width="13" customWidth="1"/>
    <col min="7" max="7" width="14" customWidth="1"/>
    <col min="8" max="8" width="9" customWidth="1"/>
    <col min="9" max="9" width="14.78515625" customWidth="1"/>
    <col min="10" max="10" width="15" customWidth="1"/>
    <col min="11" max="11" width="14" customWidth="1"/>
    <col min="12" max="12" width="26.640625" customWidth="1"/>
  </cols>
  <sheetData>
    <row r="1" spans="1:19" ht="49.3" customHeight="1">
      <c r="A1" s="28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9" ht="14.05" customHeight="1">
      <c r="A2" s="29" t="s">
        <v>45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9" ht="14.05" customHeight="1">
      <c r="A3" s="29" t="s">
        <v>46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P3" s="30"/>
      <c r="Q3" s="31"/>
      <c r="R3" s="31"/>
      <c r="S3" s="31"/>
    </row>
    <row r="4" spans="1:19" ht="21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P4" s="20"/>
      <c r="Q4" s="21"/>
      <c r="R4" s="21"/>
      <c r="S4" s="21"/>
    </row>
    <row r="5" spans="1:19" ht="48.45" customHeight="1">
      <c r="A5" s="47" t="s">
        <v>47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P5" s="30"/>
      <c r="Q5" s="32"/>
      <c r="R5" s="32"/>
      <c r="S5" s="32"/>
    </row>
    <row r="7" spans="1:19" s="23" customFormat="1" ht="18" customHeight="1">
      <c r="A7" s="39" t="s">
        <v>0</v>
      </c>
      <c r="B7" s="38"/>
      <c r="C7" s="37" t="s">
        <v>49</v>
      </c>
      <c r="D7" s="38"/>
      <c r="E7" s="38"/>
      <c r="I7" s="39" t="s">
        <v>1</v>
      </c>
      <c r="J7" s="38"/>
      <c r="K7" s="37" t="s">
        <v>48</v>
      </c>
      <c r="L7" s="38"/>
    </row>
    <row r="8" spans="1:19" s="23" customFormat="1" ht="18" customHeight="1">
      <c r="A8" s="39" t="s">
        <v>2</v>
      </c>
      <c r="B8" s="38"/>
      <c r="C8" s="37" t="s">
        <v>50</v>
      </c>
      <c r="D8" s="38"/>
      <c r="E8" s="38"/>
      <c r="I8" s="39" t="s">
        <v>3</v>
      </c>
      <c r="J8" s="38"/>
      <c r="K8" s="37"/>
      <c r="L8" s="38"/>
    </row>
    <row r="9" spans="1:19" s="23" customFormat="1" ht="18" customHeight="1">
      <c r="A9" s="39" t="s">
        <v>4</v>
      </c>
      <c r="B9" s="38"/>
      <c r="C9" s="37" t="s">
        <v>51</v>
      </c>
      <c r="D9" s="38"/>
      <c r="E9" s="38"/>
      <c r="I9" s="39" t="s">
        <v>5</v>
      </c>
      <c r="J9" s="38"/>
      <c r="K9" s="49">
        <v>46218</v>
      </c>
      <c r="L9" s="38"/>
    </row>
    <row r="10" spans="1:19" s="23" customFormat="1" ht="18" customHeight="1">
      <c r="A10" s="39" t="s">
        <v>6</v>
      </c>
      <c r="B10" s="38"/>
      <c r="C10" s="37" t="s">
        <v>52</v>
      </c>
      <c r="D10" s="38"/>
      <c r="E10" s="38"/>
      <c r="I10" s="39" t="s">
        <v>7</v>
      </c>
      <c r="J10" s="38"/>
      <c r="K10" s="37" t="s">
        <v>54</v>
      </c>
      <c r="L10" s="38"/>
    </row>
    <row r="11" spans="1:19" s="23" customFormat="1" ht="18" customHeight="1">
      <c r="A11" s="39" t="s">
        <v>8</v>
      </c>
      <c r="B11" s="38"/>
      <c r="C11" s="37" t="s">
        <v>53</v>
      </c>
      <c r="D11" s="38"/>
      <c r="E11" s="38"/>
      <c r="I11" s="39" t="s">
        <v>9</v>
      </c>
      <c r="J11" s="38"/>
      <c r="K11" s="37" t="s">
        <v>10</v>
      </c>
      <c r="L11" s="38"/>
    </row>
    <row r="12" spans="1:19" ht="18" customHeight="1">
      <c r="A12" s="1"/>
      <c r="B12" s="1"/>
      <c r="C12" s="1"/>
      <c r="D12" s="1"/>
      <c r="E12" s="1"/>
      <c r="F12" s="40" t="s">
        <v>11</v>
      </c>
      <c r="G12" s="41"/>
      <c r="H12" s="41"/>
      <c r="I12" s="1"/>
      <c r="J12" s="1"/>
      <c r="K12" s="1"/>
      <c r="L12" s="1"/>
    </row>
    <row r="13" spans="1:19" ht="24" customHeight="1">
      <c r="A13" s="15" t="s">
        <v>12</v>
      </c>
      <c r="B13" s="15" t="s">
        <v>13</v>
      </c>
      <c r="C13" s="15" t="s">
        <v>14</v>
      </c>
      <c r="D13" s="15" t="s">
        <v>15</v>
      </c>
      <c r="E13" s="15" t="s">
        <v>16</v>
      </c>
      <c r="F13" s="15" t="s">
        <v>17</v>
      </c>
      <c r="G13" s="15" t="s">
        <v>18</v>
      </c>
      <c r="H13" s="15" t="s">
        <v>19</v>
      </c>
      <c r="I13" s="15" t="s">
        <v>20</v>
      </c>
      <c r="J13" s="15" t="s">
        <v>21</v>
      </c>
      <c r="K13" s="15" t="s">
        <v>22</v>
      </c>
      <c r="L13" s="15" t="s">
        <v>23</v>
      </c>
    </row>
    <row r="14" spans="1:19" ht="73.849999999999994" customHeight="1">
      <c r="A14" s="3">
        <v>1</v>
      </c>
      <c r="B14" s="2"/>
      <c r="C14" s="2" t="s">
        <v>55</v>
      </c>
      <c r="D14" s="4">
        <v>1</v>
      </c>
      <c r="E14" s="3" t="s">
        <v>24</v>
      </c>
      <c r="F14" s="7">
        <v>6000000</v>
      </c>
      <c r="G14" s="7">
        <f t="shared" ref="G14:G15" si="0">D14*F14</f>
        <v>6000000</v>
      </c>
      <c r="H14" s="8">
        <v>0.4</v>
      </c>
      <c r="I14" s="22">
        <f>IF(N14="","",ROUNDUP(N14/(1-H14),-2))</f>
        <v>6800</v>
      </c>
      <c r="J14" s="16">
        <f t="shared" ref="J14:J15" si="1">D14*I14</f>
        <v>6800</v>
      </c>
      <c r="K14" s="2" t="s">
        <v>57</v>
      </c>
      <c r="L14" s="5"/>
      <c r="N14">
        <f>F14/1490</f>
        <v>4026.8456375838928</v>
      </c>
    </row>
    <row r="15" spans="1:19" ht="73.849999999999994" customHeight="1">
      <c r="A15" s="3">
        <v>2</v>
      </c>
      <c r="B15" s="2"/>
      <c r="C15" s="2" t="s">
        <v>56</v>
      </c>
      <c r="D15" s="4">
        <v>2</v>
      </c>
      <c r="E15" s="3" t="s">
        <v>24</v>
      </c>
      <c r="F15" s="7">
        <v>500000</v>
      </c>
      <c r="G15" s="7">
        <f t="shared" si="0"/>
        <v>1000000</v>
      </c>
      <c r="H15" s="8">
        <v>0.4</v>
      </c>
      <c r="I15" s="22">
        <f>IF(N15="","",ROUNDUP(N15/(1-H15),-2))</f>
        <v>600</v>
      </c>
      <c r="J15" s="16">
        <f t="shared" si="1"/>
        <v>1200</v>
      </c>
      <c r="K15" s="2" t="s">
        <v>57</v>
      </c>
      <c r="L15" s="6" t="s">
        <v>59</v>
      </c>
      <c r="N15">
        <f>F15/1490</f>
        <v>335.57046979865771</v>
      </c>
    </row>
    <row r="16" spans="1:19" ht="73.849999999999994" customHeight="1">
      <c r="A16" s="3"/>
      <c r="B16" s="2"/>
      <c r="C16" s="2"/>
      <c r="D16" s="4"/>
      <c r="E16" s="3"/>
      <c r="F16" s="7"/>
      <c r="G16" s="7"/>
      <c r="H16" s="8"/>
      <c r="I16" s="16"/>
      <c r="J16" s="16"/>
      <c r="K16" s="2"/>
      <c r="L16" s="6"/>
    </row>
    <row r="17" spans="1:12" ht="73.849999999999994" customHeight="1">
      <c r="A17" s="3"/>
      <c r="B17" s="2"/>
      <c r="C17" s="2"/>
      <c r="D17" s="4"/>
      <c r="E17" s="3"/>
      <c r="F17" s="7"/>
      <c r="G17" s="7"/>
      <c r="H17" s="8"/>
      <c r="I17" s="16"/>
      <c r="J17" s="16"/>
      <c r="K17" s="2"/>
      <c r="L17" s="6"/>
    </row>
    <row r="18" spans="1:12" ht="73.849999999999994" customHeight="1">
      <c r="A18" s="3"/>
      <c r="B18" s="2"/>
      <c r="C18" s="2"/>
      <c r="D18" s="4"/>
      <c r="E18" s="3"/>
      <c r="F18" s="7"/>
      <c r="G18" s="7"/>
      <c r="H18" s="8"/>
      <c r="I18" s="16"/>
      <c r="J18" s="16"/>
      <c r="K18" s="2"/>
      <c r="L18" s="6"/>
    </row>
    <row r="19" spans="1:12" s="12" customFormat="1" ht="21.45">
      <c r="A19" s="44" t="s">
        <v>25</v>
      </c>
      <c r="B19" s="45"/>
      <c r="C19" s="45"/>
      <c r="D19" s="45"/>
      <c r="E19" s="46"/>
      <c r="F19" s="9"/>
      <c r="G19" s="10">
        <f>SUM(G14:G18)</f>
        <v>7000000</v>
      </c>
      <c r="H19" s="11"/>
      <c r="I19" s="17"/>
      <c r="J19" s="18">
        <f>SUM(J14:J18)</f>
        <v>8000</v>
      </c>
      <c r="K19" s="13"/>
      <c r="L19" s="14"/>
    </row>
    <row r="20" spans="1:12" s="23" customFormat="1" ht="18" customHeight="1"/>
    <row r="21" spans="1:12" s="23" customFormat="1" ht="18" customHeight="1">
      <c r="A21" s="35" t="s">
        <v>43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23" customFormat="1" ht="18" customHeight="1">
      <c r="A22" s="33" t="s">
        <v>58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3" spans="1:12" s="23" customFormat="1" ht="18" customHeight="1">
      <c r="A23" s="33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1:12" s="23" customFormat="1" ht="18" customHeight="1">
      <c r="A24" s="33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 s="23" customFormat="1" ht="18" customHeight="1">
      <c r="A25" s="35" t="s">
        <v>26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12" s="25" customFormat="1" ht="18" customHeight="1">
      <c r="A26" s="33" t="s">
        <v>27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 s="25" customFormat="1" ht="18" customHeight="1">
      <c r="A27" s="33" t="s">
        <v>28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2" s="25" customFormat="1" ht="18" customHeight="1">
      <c r="A28" s="33" t="s">
        <v>29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1:12" s="25" customFormat="1" ht="18" customHeight="1">
      <c r="A29" s="33" t="s">
        <v>30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1:12" s="25" customFormat="1" ht="18" customHeight="1">
      <c r="A30" s="33" t="s">
        <v>42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s="25" customFormat="1" ht="18" customHeight="1">
      <c r="A31" s="33" t="s">
        <v>31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1:12" s="25" customFormat="1" ht="18" customHeight="1">
      <c r="A32" s="33" t="s">
        <v>32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spans="1:12" s="25" customFormat="1" ht="18" customHeight="1">
      <c r="A33" s="33" t="s">
        <v>33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spans="1:12" s="25" customFormat="1" ht="18" customHeight="1">
      <c r="A34" s="33" t="s">
        <v>34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1:12" s="25" customFormat="1" ht="18" customHeight="1">
      <c r="A35" s="33" t="s">
        <v>35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s="23" customFormat="1" ht="18" customHeight="1">
      <c r="A36" s="33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 s="23" customFormat="1" ht="18" customHeight="1"/>
    <row r="38" spans="1:12" s="23" customFormat="1" ht="18" customHeight="1">
      <c r="A38" s="35" t="s">
        <v>36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2" s="25" customFormat="1" ht="18" customHeight="1">
      <c r="A39" s="33" t="s">
        <v>41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spans="1:12" s="25" customFormat="1" ht="18" customHeight="1">
      <c r="A40" s="33" t="s">
        <v>37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spans="1:12" s="25" customFormat="1" ht="18" customHeight="1">
      <c r="A41" s="24"/>
    </row>
    <row r="42" spans="1:12" s="25" customFormat="1" ht="18" customHeight="1">
      <c r="A42" s="24"/>
    </row>
    <row r="43" spans="1:12" s="25" customFormat="1" ht="18" customHeight="1">
      <c r="A43" s="24"/>
    </row>
    <row r="44" spans="1:12" s="25" customFormat="1" ht="18" customHeight="1">
      <c r="A44" s="24"/>
    </row>
    <row r="45" spans="1:12" s="23" customFormat="1" ht="18" customHeight="1"/>
    <row r="46" spans="1:12" s="25" customFormat="1" ht="18">
      <c r="A46" s="33" t="s">
        <v>38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50" spans="1:12" s="23" customFormat="1" ht="18">
      <c r="A50" s="26" t="s">
        <v>39</v>
      </c>
      <c r="B50" s="27"/>
    </row>
    <row r="51" spans="1:12">
      <c r="A51" s="43" t="s">
        <v>40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</sheetData>
  <mergeCells count="49">
    <mergeCell ref="A51:L51"/>
    <mergeCell ref="A19:E19"/>
    <mergeCell ref="A21:L21"/>
    <mergeCell ref="A22:L22"/>
    <mergeCell ref="A23:L23"/>
    <mergeCell ref="A24:L24"/>
    <mergeCell ref="A28:L28"/>
    <mergeCell ref="A46:L46"/>
    <mergeCell ref="A35:L35"/>
    <mergeCell ref="K11:L11"/>
    <mergeCell ref="A8:B8"/>
    <mergeCell ref="A36:L36"/>
    <mergeCell ref="I8:J8"/>
    <mergeCell ref="A32:L32"/>
    <mergeCell ref="I11:J11"/>
    <mergeCell ref="A11:B11"/>
    <mergeCell ref="A31:L31"/>
    <mergeCell ref="A26:L26"/>
    <mergeCell ref="C9:E9"/>
    <mergeCell ref="K10:L10"/>
    <mergeCell ref="C8:E8"/>
    <mergeCell ref="I9:J9"/>
    <mergeCell ref="A33:L33"/>
    <mergeCell ref="A40:L40"/>
    <mergeCell ref="A34:L34"/>
    <mergeCell ref="A10:B10"/>
    <mergeCell ref="A25:L25"/>
    <mergeCell ref="I10:J10"/>
    <mergeCell ref="A39:L39"/>
    <mergeCell ref="C11:E11"/>
    <mergeCell ref="F12:H12"/>
    <mergeCell ref="C10:E10"/>
    <mergeCell ref="A27:L27"/>
    <mergeCell ref="A30:L30"/>
    <mergeCell ref="A29:L29"/>
    <mergeCell ref="A38:L38"/>
    <mergeCell ref="K8:L8"/>
    <mergeCell ref="K7:L7"/>
    <mergeCell ref="A9:B9"/>
    <mergeCell ref="A7:B7"/>
    <mergeCell ref="I7:J7"/>
    <mergeCell ref="C7:E7"/>
    <mergeCell ref="K9:L9"/>
    <mergeCell ref="A1:L1"/>
    <mergeCell ref="A2:L2"/>
    <mergeCell ref="A3:L3"/>
    <mergeCell ref="P3:S3"/>
    <mergeCell ref="P5:S5"/>
    <mergeCell ref="A5:L5"/>
  </mergeCells>
  <phoneticPr fontId="3" type="noConversion"/>
  <pageMargins left="0.31496062992125984" right="0.31496062992125984" top="0.78740157480314965" bottom="0.39370078740157483" header="0.51181102362204722" footer="0.51181102362204722"/>
  <pageSetup paperSize="9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2026-07-15T00:45:26Z</cp:lastPrinted>
  <dcterms:created xsi:type="dcterms:W3CDTF">2026-07-14T08:30:33Z</dcterms:created>
  <dcterms:modified xsi:type="dcterms:W3CDTF">2026-07-19T11:05:24Z</dcterms:modified>
</cp:coreProperties>
</file>