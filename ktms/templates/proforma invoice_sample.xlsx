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내 드라이브\02 Personally\03 비즈니스 관리 == 사업구상_구직 etc\00 케이마리스에너지앤솔루션즈 주식회사\04 PI CI PL SM POD\260721 Everhonest Rectifier Relay Complete Unit\Everhonest\"/>
    </mc:Choice>
  </mc:AlternateContent>
  <xr:revisionPtr revIDLastSave="0" documentId="13_ncr:1_{5E0DDF90-2158-426E-9058-52BFD1BBC9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forma Invoice" sheetId="2" r:id="rId1"/>
  </sheets>
  <definedNames>
    <definedName name="_xlnm.Print_Area" localSheetId="0">'Proforma Invoice'!$A$1:$H$43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2" l="1"/>
  <c r="O29" i="2" s="1"/>
  <c r="M28" i="2"/>
  <c r="O28" i="2" s="1"/>
  <c r="H23" i="2" l="1"/>
  <c r="H28" i="2" s="1"/>
  <c r="H32" i="2" l="1"/>
  <c r="H33" i="2" s="1"/>
</calcChain>
</file>

<file path=xl/sharedStrings.xml><?xml version="1.0" encoding="utf-8"?>
<sst xmlns="http://schemas.openxmlformats.org/spreadsheetml/2006/main" count="76" uniqueCount="73">
  <si>
    <t>Invoice No.</t>
  </si>
  <si>
    <t>Invoice Date</t>
  </si>
  <si>
    <t>SHIPPING INFORMATION</t>
  </si>
  <si>
    <t>Carrier</t>
  </si>
  <si>
    <t>Incoterms</t>
  </si>
  <si>
    <t>Payment Terms</t>
  </si>
  <si>
    <t>ETD</t>
  </si>
  <si>
    <t>ETA</t>
  </si>
  <si>
    <t>Currency</t>
  </si>
  <si>
    <t>Country of Origin</t>
  </si>
  <si>
    <t>No.</t>
  </si>
  <si>
    <t>Description</t>
  </si>
  <si>
    <t>Part No.</t>
  </si>
  <si>
    <t>HS Code</t>
  </si>
  <si>
    <t>Qty</t>
  </si>
  <si>
    <t>Unit Price</t>
  </si>
  <si>
    <t>Subtotal</t>
  </si>
  <si>
    <t>Freight</t>
  </si>
  <si>
    <t>Packing</t>
  </si>
  <si>
    <t>Insurance</t>
  </si>
  <si>
    <t>VAT</t>
  </si>
  <si>
    <t>TOTAL INVOICE VALUE</t>
  </si>
  <si>
    <t>We hereby certify that this Commercial Invoice is true and correct.</t>
  </si>
  <si>
    <t>Authorized Signature</t>
  </si>
  <si>
    <t>K-MARIS Energy &amp; Solutions Co., Ltd.
(Company Stamp)</t>
  </si>
  <si>
    <t xml:space="preserve">K-MARIS Energy &amp; Solutions Co., Ltd. </t>
  </si>
  <si>
    <t>Rm S09, #018, 11F Metro Tower, 856 Tongil-ro, Eunpyeong-gu, Seoul 03163, Republic of Korea</t>
    <phoneticPr fontId="7" type="noConversion"/>
  </si>
  <si>
    <t>Tel: +82-10-2957-2359 | sales@k-maris.com  |  www.k-maris.com</t>
    <phoneticPr fontId="7" type="noConversion"/>
  </si>
  <si>
    <t>Company Name</t>
    <phoneticPr fontId="7" type="noConversion"/>
  </si>
  <si>
    <t>Address</t>
    <phoneticPr fontId="7" type="noConversion"/>
  </si>
  <si>
    <t>e-mail</t>
    <phoneticPr fontId="7" type="noConversion"/>
  </si>
  <si>
    <t>Vessel / IMO No.</t>
    <phoneticPr fontId="7" type="noConversion"/>
  </si>
  <si>
    <t>PO No.</t>
    <phoneticPr fontId="7" type="noConversion"/>
  </si>
  <si>
    <t>Contact</t>
    <phoneticPr fontId="7" type="noConversion"/>
  </si>
  <si>
    <t>DECLARATION</t>
    <phoneticPr fontId="7" type="noConversion"/>
  </si>
  <si>
    <t>KRW</t>
    <phoneticPr fontId="7" type="noConversion"/>
  </si>
  <si>
    <t>PROFORMA INVOICE</t>
    <phoneticPr fontId="7" type="noConversion"/>
  </si>
  <si>
    <t>Amount (USD)</t>
    <phoneticPr fontId="7" type="noConversion"/>
  </si>
  <si>
    <t>Exchange Rate</t>
    <phoneticPr fontId="7" type="noConversion"/>
  </si>
  <si>
    <t>운송비용</t>
    <phoneticPr fontId="7" type="noConversion"/>
  </si>
  <si>
    <t>DHL</t>
    <phoneticPr fontId="7" type="noConversion"/>
  </si>
  <si>
    <t>Packing</t>
    <phoneticPr fontId="7" type="noConversion"/>
  </si>
  <si>
    <t>Markup</t>
    <phoneticPr fontId="7" type="noConversion"/>
  </si>
  <si>
    <t>Purchase(USD)</t>
    <phoneticPr fontId="7" type="noConversion"/>
  </si>
  <si>
    <t>Sales(USD)</t>
    <phoneticPr fontId="7" type="noConversion"/>
  </si>
  <si>
    <t>Total</t>
    <phoneticPr fontId="7" type="noConversion"/>
  </si>
  <si>
    <t>T/T in advance</t>
    <phoneticPr fontId="7" type="noConversion"/>
  </si>
  <si>
    <t>BANK INFORMATION</t>
    <phoneticPr fontId="7" type="noConversion"/>
  </si>
  <si>
    <t>Bank Name &amp; Address</t>
    <phoneticPr fontId="7" type="noConversion"/>
  </si>
  <si>
    <t>Swift Code</t>
    <phoneticPr fontId="7" type="noConversion"/>
  </si>
  <si>
    <t>Remittee's name</t>
    <phoneticPr fontId="7" type="noConversion"/>
  </si>
  <si>
    <t>Remittee's Account No.</t>
    <phoneticPr fontId="7" type="noConversion"/>
  </si>
  <si>
    <t>180-044-435675</t>
    <phoneticPr fontId="7" type="noConversion"/>
  </si>
  <si>
    <t>Shinhan Bank</t>
    <phoneticPr fontId="7" type="noConversion"/>
  </si>
  <si>
    <t>SHBKKRSE</t>
    <phoneticPr fontId="7" type="noConversion"/>
  </si>
  <si>
    <t xml:space="preserve">K-MARIS ENERGY &amp; SOLUTIONS CO., LTD. </t>
    <phoneticPr fontId="7" type="noConversion"/>
  </si>
  <si>
    <t>Place of Departure</t>
    <phoneticPr fontId="7" type="noConversion"/>
  </si>
  <si>
    <t>Place of Destination</t>
    <phoneticPr fontId="7" type="noConversion"/>
  </si>
  <si>
    <t>EVERHONEST SHIP ENGINEERING CO., LTD.</t>
    <phoneticPr fontId="7" type="noConversion"/>
  </si>
  <si>
    <t>Room 2105,Trend Centre 29-31 Cheaung Lee Street,Chaiwan,Hong Kong</t>
    <phoneticPr fontId="7" type="noConversion"/>
  </si>
  <si>
    <t>Mr.Robin Xiong / HP: +86 17667873223</t>
    <phoneticPr fontId="7" type="noConversion"/>
  </si>
  <si>
    <t>supply04@qdzhigong.com</t>
    <phoneticPr fontId="7" type="noConversion"/>
  </si>
  <si>
    <t>TBD</t>
    <phoneticPr fontId="7" type="noConversion"/>
  </si>
  <si>
    <t>RECTIFIER RELAY UNIT ASS'Y, COMPLETE</t>
    <phoneticPr fontId="7" type="noConversion"/>
  </si>
  <si>
    <t>000677700-249</t>
    <phoneticPr fontId="7" type="noConversion"/>
  </si>
  <si>
    <t xml:space="preserve"> BUYER</t>
    <phoneticPr fontId="7" type="noConversion"/>
  </si>
  <si>
    <t>379-92032</t>
    <phoneticPr fontId="7" type="noConversion"/>
  </si>
  <si>
    <t>379-92032-PI</t>
    <phoneticPr fontId="7" type="noConversion"/>
  </si>
  <si>
    <t>MSC JENNY II</t>
    <phoneticPr fontId="7" type="noConversion"/>
  </si>
  <si>
    <t>Germany</t>
    <phoneticPr fontId="7" type="noConversion"/>
  </si>
  <si>
    <t>EXW Germany</t>
    <phoneticPr fontId="7" type="noConversion"/>
  </si>
  <si>
    <t>Made in Germany</t>
    <phoneticPr fontId="7" type="noConversion"/>
  </si>
  <si>
    <t>EUR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</si>
</sst>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dd/mmm/yyyy"/>
  </numFmts>
  <fonts count="17">
    <font>
      <sz val="11"/>
      <color theme="1"/>
      <name val="맑은 고딕"/>
      <family val="2"/>
      <scheme val="minor"/>
    </font>
    <font>
      <b/>
      <sz val="19"/>
      <color rgb="FF0B1D3A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1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name val="Carlito"/>
    </font>
    <font>
      <sz val="24"/>
      <name val="Calibri"/>
      <family val="2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sz val="9"/>
      <name val="Calibri"/>
      <family val="2"/>
    </font>
    <font>
      <sz val="18"/>
      <name val="Calibri"/>
      <family val="2"/>
    </font>
    <font>
      <sz val="11"/>
      <color theme="1"/>
      <name val="맑은 고딕"/>
      <family val="2"/>
      <scheme val="minor"/>
    </font>
    <font>
      <sz val="9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F4F6F8"/>
      </patternFill>
    </fill>
    <fill>
      <patternFill patternType="solid">
        <fgColor rgb="FF0B1D3A"/>
      </patternFill>
    </fill>
    <fill>
      <patternFill patternType="solid">
        <fgColor rgb="FFFAFBFC"/>
      </patternFill>
    </fill>
    <fill>
      <patternFill patternType="solid">
        <fgColor rgb="FFEAF3FF"/>
      </patternFill>
    </fill>
  </fills>
  <borders count="12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/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/>
      <diagonal/>
    </border>
    <border>
      <left/>
      <right style="thin">
        <color rgb="FFC8D2E0"/>
      </right>
      <top/>
      <bottom/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 style="thin">
        <color rgb="FFC8D2E0"/>
      </left>
      <right style="thin">
        <color rgb="FFC8D2E0"/>
      </right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/>
      <diagonal/>
    </border>
    <border>
      <left style="thin">
        <color rgb="FFC8D2E0"/>
      </left>
      <right/>
      <top style="thin">
        <color rgb="FFC8D2E0"/>
      </top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3">
    <xf numFmtId="0" fontId="0" fillId="0" borderId="0"/>
    <xf numFmtId="0" fontId="8" fillId="0" borderId="0"/>
    <xf numFmtId="41" fontId="14" fillId="0" borderId="0" applyFont="0" applyFill="0" applyBorder="0" applyAlignment="0" applyProtection="0">
      <alignment vertical="center"/>
    </xf>
  </cellStyleXfs>
  <cellXfs count="7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right" vertical="center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2" fillId="0" borderId="0" xfId="1" applyFont="1" applyAlignment="1">
      <alignment horizontal="center"/>
    </xf>
    <xf numFmtId="41" fontId="0" fillId="0" borderId="1" xfId="2" applyFont="1" applyBorder="1" applyAlignment="1">
      <alignment horizontal="right" vertical="center"/>
    </xf>
    <xf numFmtId="41" fontId="6" fillId="6" borderId="1" xfId="2" applyFont="1" applyFill="1" applyBorder="1" applyAlignment="1">
      <alignment horizontal="right" vertical="center"/>
    </xf>
    <xf numFmtId="0" fontId="12" fillId="0" borderId="0" xfId="1" applyFont="1"/>
    <xf numFmtId="0" fontId="11" fillId="0" borderId="0" xfId="0" applyFont="1"/>
    <xf numFmtId="41" fontId="12" fillId="0" borderId="0" xfId="2" applyFont="1" applyAlignment="1"/>
    <xf numFmtId="41" fontId="11" fillId="0" borderId="0" xfId="2" applyFont="1" applyAlignment="1"/>
    <xf numFmtId="41" fontId="12" fillId="0" borderId="0" xfId="2" applyFont="1" applyAlignment="1">
      <alignment horizontal="center"/>
    </xf>
    <xf numFmtId="9" fontId="11" fillId="0" borderId="0" xfId="2" applyNumberFormat="1" applyFont="1" applyAlignment="1"/>
    <xf numFmtId="0" fontId="11" fillId="0" borderId="0" xfId="0" applyFont="1" applyAlignment="1">
      <alignment horizontal="center"/>
    </xf>
    <xf numFmtId="41" fontId="11" fillId="0" borderId="0" xfId="2" applyFont="1" applyAlignment="1">
      <alignment horizontal="center" wrapText="1"/>
    </xf>
    <xf numFmtId="0" fontId="16" fillId="0" borderId="1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3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0" fillId="0" borderId="8" xfId="0" applyBorder="1"/>
    <xf numFmtId="176" fontId="3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3" fillId="0" borderId="7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4" fillId="0" borderId="1" xfId="0" applyFont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3">
    <cellStyle name="Normal" xfId="1" xr:uid="{C05D073A-BF4C-4799-AC60-97F854463A5B}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655320</xdr:colOff>
      <xdr:row>40</xdr:row>
      <xdr:rowOff>281940</xdr:rowOff>
    </xdr:from>
    <xdr:ext cx="1238250" cy="4191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E22DA90-6604-4D94-BB67-274E82DFDE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7420" y="10362111"/>
          <a:ext cx="1238250" cy="419100"/>
        </a:xfrm>
        <a:prstGeom prst="rect">
          <a:avLst/>
        </a:prstGeom>
      </xdr:spPr>
    </xdr:pic>
    <xdr:clientData/>
  </xdr:oneCellAnchor>
  <xdr:oneCellAnchor>
    <xdr:from>
      <xdr:col>7</xdr:col>
      <xdr:colOff>190500</xdr:colOff>
      <xdr:row>40</xdr:row>
      <xdr:rowOff>91440</xdr:rowOff>
    </xdr:from>
    <xdr:ext cx="742950" cy="742950"/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EB49A303-04B6-47C8-9198-CC663D9F1E0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41671" y="10171611"/>
          <a:ext cx="742950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129540</xdr:colOff>
      <xdr:row>0</xdr:row>
      <xdr:rowOff>45721</xdr:rowOff>
    </xdr:from>
    <xdr:to>
      <xdr:col>1</xdr:col>
      <xdr:colOff>1086119</xdr:colOff>
      <xdr:row>3</xdr:row>
      <xdr:rowOff>18508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55D1F5-AA06-4AC0-ADAD-A81BA7B6E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586740" y="45721"/>
          <a:ext cx="956579" cy="800101"/>
        </a:xfrm>
        <a:prstGeom prst="rect">
          <a:avLst/>
        </a:prstGeom>
      </xdr:spPr>
    </xdr:pic>
    <xdr:clientData/>
  </xdr:twoCellAnchor>
  <xdr:twoCellAnchor editAs="oneCell">
    <xdr:from>
      <xdr:col>6</xdr:col>
      <xdr:colOff>872879</xdr:colOff>
      <xdr:row>0</xdr:row>
      <xdr:rowOff>289561</xdr:rowOff>
    </xdr:from>
    <xdr:to>
      <xdr:col>7</xdr:col>
      <xdr:colOff>1124109</xdr:colOff>
      <xdr:row>0</xdr:row>
      <xdr:rowOff>459673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742930-BEB8-47C9-AB01-9709ECCB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250" y="289561"/>
          <a:ext cx="1318030" cy="170112"/>
        </a:xfrm>
        <a:prstGeom prst="rect">
          <a:avLst/>
        </a:prstGeom>
      </xdr:spPr>
    </xdr:pic>
    <xdr:clientData/>
  </xdr:twoCellAnchor>
  <xdr:twoCellAnchor editAs="oneCell">
    <xdr:from>
      <xdr:col>6</xdr:col>
      <xdr:colOff>868680</xdr:colOff>
      <xdr:row>0</xdr:row>
      <xdr:rowOff>464977</xdr:rowOff>
    </xdr:from>
    <xdr:to>
      <xdr:col>7</xdr:col>
      <xdr:colOff>1161507</xdr:colOff>
      <xdr:row>1</xdr:row>
      <xdr:rowOff>155012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1D9279-C0DC-4FD2-82D1-BFD5AB6F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3051" y="464977"/>
          <a:ext cx="1359627" cy="15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915-E4D8-4001-BCE4-D14DFCDA16BE}">
  <sheetPr>
    <pageSetUpPr fitToPage="1"/>
  </sheetPr>
  <dimension ref="A1:S43"/>
  <sheetViews>
    <sheetView showGridLines="0" tabSelected="1" view="pageBreakPreview" zoomScaleNormal="100" zoomScaleSheetLayoutView="100" workbookViewId="0">
      <selection activeCell="J14" sqref="J14"/>
    </sheetView>
  </sheetViews>
  <sheetFormatPr defaultRowHeight="17.399999999999999"/>
  <cols>
    <col min="1" max="1" width="6" customWidth="1"/>
    <col min="2" max="2" width="14.5" customWidth="1"/>
    <col min="3" max="3" width="19.296875" customWidth="1"/>
    <col min="4" max="4" width="13.5" customWidth="1"/>
    <col min="5" max="5" width="12" customWidth="1"/>
    <col min="6" max="6" width="8" customWidth="1"/>
    <col min="7" max="7" width="14" customWidth="1"/>
    <col min="8" max="8" width="18.296875" customWidth="1"/>
    <col min="10" max="10" width="8.796875" style="16"/>
    <col min="11" max="11" width="9.59765625" style="18" bestFit="1" customWidth="1"/>
    <col min="12" max="12" width="8.796875" style="18"/>
    <col min="13" max="13" width="13.796875" style="18" customWidth="1"/>
    <col min="14" max="14" width="8.796875" style="18"/>
    <col min="15" max="15" width="8.796875" style="16"/>
  </cols>
  <sheetData>
    <row r="1" spans="1:19" ht="37.200000000000003" customHeight="1">
      <c r="A1" s="30" t="s">
        <v>25</v>
      </c>
      <c r="B1" s="30"/>
      <c r="C1" s="30"/>
      <c r="D1" s="30"/>
      <c r="E1" s="30"/>
      <c r="F1" s="30"/>
      <c r="G1" s="30"/>
      <c r="H1" s="30"/>
      <c r="I1" s="10"/>
      <c r="J1" s="15"/>
      <c r="K1" s="17"/>
      <c r="L1" s="17"/>
    </row>
    <row r="2" spans="1:19" ht="14.1" customHeight="1">
      <c r="A2" s="31" t="s">
        <v>26</v>
      </c>
      <c r="B2" s="31"/>
      <c r="C2" s="31"/>
      <c r="D2" s="31"/>
      <c r="E2" s="31"/>
      <c r="F2" s="31"/>
      <c r="G2" s="31"/>
      <c r="H2" s="31"/>
      <c r="I2" s="11"/>
      <c r="J2" s="15"/>
      <c r="K2" s="17"/>
      <c r="L2" s="17"/>
    </row>
    <row r="3" spans="1:19" ht="14.1" customHeight="1">
      <c r="A3" s="31" t="s">
        <v>27</v>
      </c>
      <c r="B3" s="31"/>
      <c r="C3" s="31"/>
      <c r="D3" s="31"/>
      <c r="E3" s="31"/>
      <c r="F3" s="31"/>
      <c r="G3" s="31"/>
      <c r="H3" s="31"/>
      <c r="I3" s="11"/>
      <c r="J3" s="15"/>
      <c r="K3" s="17"/>
      <c r="L3" s="17"/>
      <c r="P3" s="26"/>
      <c r="Q3" s="39"/>
      <c r="R3" s="39"/>
      <c r="S3" s="39"/>
    </row>
    <row r="4" spans="1:19" ht="15.6" customHeight="1">
      <c r="A4" s="40"/>
      <c r="B4" s="40"/>
      <c r="C4" s="40"/>
      <c r="D4" s="40"/>
      <c r="E4" s="40"/>
      <c r="F4" s="40"/>
      <c r="G4" s="40"/>
      <c r="H4" s="40"/>
      <c r="I4" s="9"/>
      <c r="J4" s="12"/>
      <c r="K4" s="19"/>
      <c r="L4" s="19"/>
      <c r="P4" s="2"/>
      <c r="Q4" s="8"/>
      <c r="R4" s="8"/>
      <c r="S4" s="8"/>
    </row>
    <row r="5" spans="1:19" ht="30" customHeight="1">
      <c r="A5" s="36" t="s">
        <v>36</v>
      </c>
      <c r="B5" s="37"/>
      <c r="C5" s="37"/>
      <c r="D5" s="37"/>
      <c r="E5" s="37"/>
      <c r="F5" s="37"/>
      <c r="G5" s="37"/>
      <c r="H5" s="37"/>
    </row>
    <row r="6" spans="1:19" ht="13.8" customHeight="1"/>
    <row r="7" spans="1:19">
      <c r="A7" s="32"/>
      <c r="B7" s="33"/>
      <c r="C7" s="33"/>
      <c r="D7" s="33"/>
      <c r="E7" s="24" t="s">
        <v>0</v>
      </c>
      <c r="F7" s="25"/>
      <c r="G7" s="26" t="s">
        <v>67</v>
      </c>
      <c r="H7" s="25"/>
    </row>
    <row r="8" spans="1:19">
      <c r="A8" s="32"/>
      <c r="B8" s="33"/>
      <c r="C8" s="33"/>
      <c r="D8" s="33"/>
      <c r="E8" s="24" t="s">
        <v>1</v>
      </c>
      <c r="F8" s="25"/>
      <c r="G8" s="34">
        <v>46239</v>
      </c>
      <c r="H8" s="35"/>
    </row>
    <row r="9" spans="1:19">
      <c r="A9" s="41"/>
      <c r="B9" s="41"/>
      <c r="C9" s="41"/>
      <c r="D9" s="42"/>
      <c r="E9" s="24" t="s">
        <v>32</v>
      </c>
      <c r="F9" s="25"/>
      <c r="G9" s="43" t="s">
        <v>66</v>
      </c>
      <c r="H9" s="44"/>
    </row>
    <row r="10" spans="1:19">
      <c r="A10" s="45"/>
      <c r="B10" s="46"/>
      <c r="C10" s="46"/>
      <c r="D10" s="46"/>
      <c r="E10" s="47"/>
      <c r="F10" s="48"/>
      <c r="G10" s="49"/>
      <c r="H10" s="48"/>
    </row>
    <row r="11" spans="1:19" ht="17.399999999999999" customHeight="1">
      <c r="A11" s="27" t="s">
        <v>65</v>
      </c>
      <c r="B11" s="28"/>
      <c r="C11" s="28"/>
      <c r="D11" s="28"/>
      <c r="E11" s="28"/>
      <c r="F11" s="28"/>
      <c r="G11" s="28"/>
      <c r="H11" s="29"/>
    </row>
    <row r="12" spans="1:19" ht="30.6" customHeight="1">
      <c r="A12" s="24" t="s">
        <v>28</v>
      </c>
      <c r="B12" s="25"/>
      <c r="C12" s="26" t="s">
        <v>58</v>
      </c>
      <c r="D12" s="26"/>
      <c r="E12" s="24" t="s">
        <v>29</v>
      </c>
      <c r="F12" s="25"/>
      <c r="G12" s="26" t="s">
        <v>59</v>
      </c>
      <c r="H12" s="26"/>
    </row>
    <row r="13" spans="1:19" ht="18.600000000000001" customHeight="1">
      <c r="A13" s="24" t="s">
        <v>33</v>
      </c>
      <c r="B13" s="25"/>
      <c r="C13" s="26" t="s">
        <v>60</v>
      </c>
      <c r="D13" s="26"/>
      <c r="E13" s="24" t="s">
        <v>30</v>
      </c>
      <c r="F13" s="25"/>
      <c r="G13" s="50" t="s">
        <v>61</v>
      </c>
      <c r="H13" s="50"/>
    </row>
    <row r="14" spans="1:19" ht="17.399999999999999" customHeight="1">
      <c r="A14" s="38"/>
      <c r="B14" s="38"/>
      <c r="C14" s="38"/>
      <c r="D14" s="38"/>
      <c r="E14" s="38"/>
      <c r="F14" s="38"/>
      <c r="G14" s="38"/>
      <c r="H14" s="38"/>
    </row>
    <row r="15" spans="1:19">
      <c r="A15" s="51" t="s">
        <v>2</v>
      </c>
      <c r="B15" s="52"/>
      <c r="C15" s="52"/>
      <c r="D15" s="52"/>
      <c r="E15" s="52"/>
      <c r="F15" s="52"/>
      <c r="G15" s="52"/>
      <c r="H15" s="52"/>
    </row>
    <row r="16" spans="1:19">
      <c r="A16" s="24" t="s">
        <v>31</v>
      </c>
      <c r="B16" s="25"/>
      <c r="C16" s="26" t="s">
        <v>68</v>
      </c>
      <c r="D16" s="25"/>
      <c r="E16" s="24" t="s">
        <v>3</v>
      </c>
      <c r="F16" s="25"/>
      <c r="G16" s="26" t="s">
        <v>62</v>
      </c>
      <c r="H16" s="25"/>
    </row>
    <row r="17" spans="1:15" ht="17.399999999999999" customHeight="1">
      <c r="A17" s="24" t="s">
        <v>56</v>
      </c>
      <c r="B17" s="25"/>
      <c r="C17" s="26" t="s">
        <v>69</v>
      </c>
      <c r="D17" s="25"/>
      <c r="E17" s="24" t="s">
        <v>57</v>
      </c>
      <c r="F17" s="25"/>
      <c r="G17" s="26" t="s">
        <v>62</v>
      </c>
      <c r="H17" s="53"/>
    </row>
    <row r="18" spans="1:15">
      <c r="A18" s="24" t="s">
        <v>6</v>
      </c>
      <c r="B18" s="25"/>
      <c r="C18" s="26" t="s">
        <v>62</v>
      </c>
      <c r="D18" s="53"/>
      <c r="E18" s="24" t="s">
        <v>7</v>
      </c>
      <c r="F18" s="25"/>
      <c r="G18" s="26" t="s">
        <v>62</v>
      </c>
      <c r="H18" s="53"/>
    </row>
    <row r="19" spans="1:15">
      <c r="A19" s="24" t="s">
        <v>4</v>
      </c>
      <c r="B19" s="25"/>
      <c r="C19" s="26" t="s">
        <v>70</v>
      </c>
      <c r="D19" s="25"/>
      <c r="E19" s="24" t="s">
        <v>5</v>
      </c>
      <c r="F19" s="25"/>
      <c r="G19" s="26" t="s">
        <v>46</v>
      </c>
      <c r="H19" s="25"/>
    </row>
    <row r="20" spans="1:15" ht="17.399999999999999" customHeight="1">
      <c r="A20" s="24" t="s">
        <v>8</v>
      </c>
      <c r="B20" s="25"/>
      <c r="C20" s="26" t="s">
        <v>72</v>
      </c>
      <c r="D20" s="25"/>
      <c r="E20" s="24" t="s">
        <v>9</v>
      </c>
      <c r="F20" s="25"/>
      <c r="G20" s="26" t="s">
        <v>71</v>
      </c>
      <c r="H20" s="25"/>
    </row>
    <row r="21" spans="1:15">
      <c r="A21" s="47"/>
      <c r="B21" s="48"/>
      <c r="C21" s="49"/>
      <c r="D21" s="48"/>
      <c r="E21" s="47"/>
      <c r="F21" s="48"/>
      <c r="G21" s="49"/>
      <c r="H21" s="48"/>
    </row>
    <row r="22" spans="1:15" ht="24" customHeight="1">
      <c r="A22" s="3" t="s">
        <v>10</v>
      </c>
      <c r="B22" s="56" t="s">
        <v>11</v>
      </c>
      <c r="C22" s="57"/>
      <c r="D22" s="3" t="s">
        <v>12</v>
      </c>
      <c r="E22" s="3" t="s">
        <v>13</v>
      </c>
      <c r="F22" s="3" t="s">
        <v>14</v>
      </c>
      <c r="G22" s="3" t="s">
        <v>15</v>
      </c>
      <c r="H22" s="3" t="s">
        <v>37</v>
      </c>
    </row>
    <row r="23" spans="1:15" ht="52.8" customHeight="1">
      <c r="A23" s="4">
        <v>1</v>
      </c>
      <c r="B23" s="54" t="s">
        <v>63</v>
      </c>
      <c r="C23" s="55"/>
      <c r="D23" s="23" t="s">
        <v>64</v>
      </c>
      <c r="E23" s="4"/>
      <c r="F23" s="4">
        <v>3</v>
      </c>
      <c r="G23" s="13">
        <v>1600</v>
      </c>
      <c r="H23" s="13">
        <f>F23*G23</f>
        <v>4800</v>
      </c>
    </row>
    <row r="24" spans="1:15" ht="18" customHeight="1">
      <c r="A24" s="4"/>
      <c r="B24" s="54"/>
      <c r="C24" s="55"/>
      <c r="D24" s="23"/>
      <c r="E24" s="4"/>
      <c r="F24" s="5"/>
      <c r="G24" s="13"/>
      <c r="H24" s="7"/>
    </row>
    <row r="25" spans="1:15" ht="18" customHeight="1">
      <c r="A25" s="5"/>
      <c r="B25" s="61"/>
      <c r="C25" s="62"/>
      <c r="D25" s="6"/>
      <c r="E25" s="5"/>
      <c r="F25" s="5"/>
      <c r="G25" s="7"/>
      <c r="H25" s="7"/>
    </row>
    <row r="26" spans="1:15" ht="18" customHeight="1">
      <c r="A26" s="5"/>
      <c r="B26" s="61"/>
      <c r="C26" s="62"/>
      <c r="D26" s="6"/>
      <c r="E26" s="5"/>
      <c r="F26" s="5"/>
      <c r="G26" s="7"/>
      <c r="H26" s="7"/>
      <c r="K26" s="18" t="s">
        <v>39</v>
      </c>
    </row>
    <row r="27" spans="1:15" ht="18" customHeight="1">
      <c r="A27" s="5"/>
      <c r="B27" s="61"/>
      <c r="C27" s="62"/>
      <c r="D27" s="6"/>
      <c r="E27" s="5"/>
      <c r="F27" s="5"/>
      <c r="G27" s="7"/>
      <c r="H27" s="7"/>
      <c r="K27" s="18" t="s">
        <v>35</v>
      </c>
      <c r="L27" s="18" t="s">
        <v>38</v>
      </c>
      <c r="M27" s="22" t="s">
        <v>43</v>
      </c>
      <c r="N27" s="18" t="s">
        <v>42</v>
      </c>
      <c r="O27" s="21" t="s">
        <v>44</v>
      </c>
    </row>
    <row r="28" spans="1:15">
      <c r="A28" s="1"/>
      <c r="B28" s="58"/>
      <c r="C28" s="59"/>
      <c r="D28" s="1"/>
      <c r="E28" s="1"/>
      <c r="F28" s="60" t="s">
        <v>16</v>
      </c>
      <c r="G28" s="25"/>
      <c r="H28" s="13">
        <f>SUM(H23:H23)</f>
        <v>4800</v>
      </c>
      <c r="J28" s="16" t="s">
        <v>40</v>
      </c>
      <c r="K28" s="18">
        <v>1340000</v>
      </c>
      <c r="L28" s="18">
        <v>1490</v>
      </c>
      <c r="M28" s="18">
        <f>K28/L28</f>
        <v>899.32885906040269</v>
      </c>
      <c r="N28" s="20">
        <v>0.3</v>
      </c>
      <c r="O28" s="18">
        <f>IF(M28="","",ROUNDUP(M28/(1-N28),-2))</f>
        <v>1300</v>
      </c>
    </row>
    <row r="29" spans="1:15">
      <c r="A29" s="1"/>
      <c r="B29" s="58"/>
      <c r="C29" s="59"/>
      <c r="D29" s="1"/>
      <c r="E29" s="1"/>
      <c r="F29" s="60" t="s">
        <v>17</v>
      </c>
      <c r="G29" s="25"/>
      <c r="H29" s="13">
        <v>0</v>
      </c>
      <c r="J29" s="16" t="s">
        <v>41</v>
      </c>
      <c r="K29" s="18">
        <v>60000</v>
      </c>
      <c r="L29" s="18">
        <v>1490</v>
      </c>
      <c r="M29" s="18">
        <f>K29/L29</f>
        <v>40.268456375838923</v>
      </c>
      <c r="N29" s="20">
        <v>0.3</v>
      </c>
      <c r="O29" s="18">
        <f>IF(M29="","",ROUNDUP(M29/(1-N29),-2))</f>
        <v>100</v>
      </c>
    </row>
    <row r="30" spans="1:15">
      <c r="A30" s="1"/>
      <c r="B30" s="58"/>
      <c r="C30" s="59"/>
      <c r="D30" s="1"/>
      <c r="E30" s="1"/>
      <c r="F30" s="60" t="s">
        <v>18</v>
      </c>
      <c r="G30" s="25"/>
      <c r="H30" s="13">
        <v>0</v>
      </c>
      <c r="J30" s="16" t="s">
        <v>45</v>
      </c>
    </row>
    <row r="31" spans="1:15">
      <c r="A31" s="1"/>
      <c r="B31" s="58"/>
      <c r="C31" s="59"/>
      <c r="D31" s="1"/>
      <c r="E31" s="1"/>
      <c r="F31" s="60" t="s">
        <v>19</v>
      </c>
      <c r="G31" s="25"/>
      <c r="H31" s="13">
        <v>0</v>
      </c>
    </row>
    <row r="32" spans="1:15">
      <c r="A32" s="1"/>
      <c r="B32" s="58"/>
      <c r="C32" s="59"/>
      <c r="D32" s="1"/>
      <c r="E32" s="1"/>
      <c r="F32" s="60" t="s">
        <v>20</v>
      </c>
      <c r="G32" s="25"/>
      <c r="H32" s="13">
        <f>H28*0</f>
        <v>0</v>
      </c>
    </row>
    <row r="33" spans="1:8" ht="18" customHeight="1">
      <c r="A33" s="63" t="s">
        <v>21</v>
      </c>
      <c r="B33" s="64"/>
      <c r="C33" s="64"/>
      <c r="D33" s="64"/>
      <c r="E33" s="64"/>
      <c r="F33" s="64"/>
      <c r="G33" s="65"/>
      <c r="H33" s="14">
        <f>H28+H29+H30+H31+H32</f>
        <v>4800</v>
      </c>
    </row>
    <row r="35" spans="1:8">
      <c r="A35" s="51" t="s">
        <v>47</v>
      </c>
      <c r="B35" s="52"/>
      <c r="C35" s="52"/>
      <c r="D35" s="52"/>
      <c r="E35" s="52"/>
      <c r="F35" s="52"/>
      <c r="G35" s="52"/>
      <c r="H35" s="52"/>
    </row>
    <row r="36" spans="1:8">
      <c r="A36" s="70" t="s">
        <v>50</v>
      </c>
      <c r="B36" s="71"/>
      <c r="C36" s="72" t="s">
        <v>55</v>
      </c>
      <c r="D36" s="73"/>
      <c r="E36" s="74" t="s">
        <v>48</v>
      </c>
      <c r="F36" s="75"/>
      <c r="G36" s="72" t="s">
        <v>53</v>
      </c>
      <c r="H36" s="73"/>
    </row>
    <row r="37" spans="1:8">
      <c r="A37" s="70" t="s">
        <v>49</v>
      </c>
      <c r="B37" s="71"/>
      <c r="C37" s="72" t="s">
        <v>54</v>
      </c>
      <c r="D37" s="73"/>
      <c r="E37" s="74" t="s">
        <v>51</v>
      </c>
      <c r="F37" s="75"/>
      <c r="G37" s="72" t="s">
        <v>52</v>
      </c>
      <c r="H37" s="73"/>
    </row>
    <row r="38" spans="1:8">
      <c r="A38" s="51" t="s">
        <v>34</v>
      </c>
      <c r="B38" s="52"/>
      <c r="C38" s="52"/>
      <c r="D38" s="52"/>
      <c r="E38" s="52"/>
      <c r="F38" s="52"/>
      <c r="G38" s="52"/>
      <c r="H38" s="52"/>
    </row>
    <row r="39" spans="1:8">
      <c r="A39" s="66" t="s">
        <v>22</v>
      </c>
      <c r="B39" s="67"/>
      <c r="C39" s="67"/>
      <c r="D39" s="67"/>
      <c r="E39" s="67"/>
      <c r="F39" s="67"/>
      <c r="G39" s="67"/>
      <c r="H39" s="68"/>
    </row>
    <row r="41" spans="1:8" ht="28.05" customHeight="1">
      <c r="A41" s="69" t="s">
        <v>23</v>
      </c>
      <c r="B41" s="25"/>
      <c r="C41" s="25"/>
      <c r="D41" s="25"/>
      <c r="E41" s="69" t="s">
        <v>24</v>
      </c>
      <c r="F41" s="25"/>
      <c r="G41" s="25"/>
      <c r="H41" s="25"/>
    </row>
    <row r="42" spans="1:8" ht="20.100000000000001" customHeight="1">
      <c r="A42" s="25"/>
      <c r="B42" s="25"/>
      <c r="C42" s="25"/>
      <c r="D42" s="25"/>
      <c r="E42" s="25"/>
      <c r="F42" s="25"/>
      <c r="G42" s="25"/>
      <c r="H42" s="25"/>
    </row>
    <row r="43" spans="1:8" ht="21" customHeight="1">
      <c r="A43" s="25"/>
      <c r="B43" s="25"/>
      <c r="C43" s="25"/>
      <c r="D43" s="25"/>
      <c r="E43" s="25"/>
      <c r="F43" s="25"/>
      <c r="G43" s="25"/>
      <c r="H43" s="25"/>
    </row>
  </sheetData>
  <mergeCells count="83">
    <mergeCell ref="A41:D43"/>
    <mergeCell ref="E41:H43"/>
    <mergeCell ref="A37:B37"/>
    <mergeCell ref="C37:D37"/>
    <mergeCell ref="E37:F37"/>
    <mergeCell ref="G37:H37"/>
    <mergeCell ref="B32:C32"/>
    <mergeCell ref="F32:G32"/>
    <mergeCell ref="A33:G33"/>
    <mergeCell ref="A38:H38"/>
    <mergeCell ref="A39:H39"/>
    <mergeCell ref="A36:B36"/>
    <mergeCell ref="E36:F36"/>
    <mergeCell ref="C36:D36"/>
    <mergeCell ref="G36:H36"/>
    <mergeCell ref="A35:H35"/>
    <mergeCell ref="G20:H20"/>
    <mergeCell ref="C20:D20"/>
    <mergeCell ref="B30:C30"/>
    <mergeCell ref="F30:G30"/>
    <mergeCell ref="B31:C31"/>
    <mergeCell ref="F31:G31"/>
    <mergeCell ref="B29:C29"/>
    <mergeCell ref="F29:G29"/>
    <mergeCell ref="B24:C24"/>
    <mergeCell ref="B25:C25"/>
    <mergeCell ref="B26:C26"/>
    <mergeCell ref="B27:C27"/>
    <mergeCell ref="B28:C28"/>
    <mergeCell ref="F28:G28"/>
    <mergeCell ref="A18:B18"/>
    <mergeCell ref="C18:D18"/>
    <mergeCell ref="E18:F18"/>
    <mergeCell ref="G18:H18"/>
    <mergeCell ref="B23:C23"/>
    <mergeCell ref="A19:B19"/>
    <mergeCell ref="C19:D19"/>
    <mergeCell ref="E19:F19"/>
    <mergeCell ref="G19:H19"/>
    <mergeCell ref="A21:B21"/>
    <mergeCell ref="C21:D21"/>
    <mergeCell ref="E21:F21"/>
    <mergeCell ref="G21:H21"/>
    <mergeCell ref="B22:C22"/>
    <mergeCell ref="A20:B20"/>
    <mergeCell ref="E20:F20"/>
    <mergeCell ref="A15:H15"/>
    <mergeCell ref="A17:B17"/>
    <mergeCell ref="C17:D17"/>
    <mergeCell ref="E17:F17"/>
    <mergeCell ref="G17:H17"/>
    <mergeCell ref="A16:B16"/>
    <mergeCell ref="C16:D16"/>
    <mergeCell ref="E16:F16"/>
    <mergeCell ref="G16:H16"/>
    <mergeCell ref="A14:H14"/>
    <mergeCell ref="P3:S3"/>
    <mergeCell ref="A4:H4"/>
    <mergeCell ref="A7:D7"/>
    <mergeCell ref="E7:F7"/>
    <mergeCell ref="G7:H7"/>
    <mergeCell ref="A9:D9"/>
    <mergeCell ref="E9:F9"/>
    <mergeCell ref="G9:H9"/>
    <mergeCell ref="A10:D10"/>
    <mergeCell ref="E10:F10"/>
    <mergeCell ref="G10:H10"/>
    <mergeCell ref="A13:B13"/>
    <mergeCell ref="C13:D13"/>
    <mergeCell ref="E13:F13"/>
    <mergeCell ref="G13:H13"/>
    <mergeCell ref="A1:H1"/>
    <mergeCell ref="A2:H2"/>
    <mergeCell ref="A3:H3"/>
    <mergeCell ref="A8:D8"/>
    <mergeCell ref="E8:F8"/>
    <mergeCell ref="G8:H8"/>
    <mergeCell ref="A5:H5"/>
    <mergeCell ref="A12:B12"/>
    <mergeCell ref="C12:D12"/>
    <mergeCell ref="E12:F12"/>
    <mergeCell ref="G12:H12"/>
    <mergeCell ref="A11:H11"/>
  </mergeCells>
  <phoneticPr fontId="7" type="noConversion"/>
  <printOptions horizontalCentered="1"/>
  <pageMargins left="0.23622047244094491" right="0.23622047244094491" top="0.70866141732283472" bottom="0.31496062992125984" header="0.51181102362204722" footer="0.51181102362204722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Proforma Invoice</vt:lpstr>
      <vt:lpstr>'Proforma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2026-08-05T05:32:42Z</cp:lastPrinted>
  <dcterms:created xsi:type="dcterms:W3CDTF">2026-07-15T06:28:34Z</dcterms:created>
  <dcterms:modified xsi:type="dcterms:W3CDTF">2026-08-05T05:33:07Z</dcterms:modified>
</cp:coreProperties>
</file>