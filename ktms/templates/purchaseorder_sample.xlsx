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yWorkspace\Kmaris_TMS\ktms\config\templates\"/>
    </mc:Choice>
  </mc:AlternateContent>
  <xr:revisionPtr revIDLastSave="0" documentId="8_{E8180711-8575-42F9-B426-B2ABF5D044A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HOLSATIA" sheetId="2" r:id="rId1"/>
  </sheets>
  <definedNames>
    <definedName name="_xlnm.Print_Area" localSheetId="0">HOLSATIA!$A$1:$H$45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  <c r="H23" i="2"/>
  <c r="H33" i="2" l="1"/>
</calcChain>
</file>

<file path=xl/sharedStrings.xml><?xml version="1.0" encoding="utf-8"?>
<sst xmlns="http://schemas.openxmlformats.org/spreadsheetml/2006/main" count="61" uniqueCount="60">
  <si>
    <t>No.</t>
  </si>
  <si>
    <t>HS Code</t>
  </si>
  <si>
    <t>Qty</t>
  </si>
  <si>
    <t>Unit Price</t>
  </si>
  <si>
    <t xml:space="preserve">K-MARIS Energy &amp; Solutions Co., Ltd. </t>
  </si>
  <si>
    <t>Rm S09, #018, 11F Metro Tower, 856 Tongil-ro, Eunpyeong-gu, Seoul 03163, Republic of Korea</t>
    <phoneticPr fontId="7" type="noConversion"/>
  </si>
  <si>
    <t>Tel: +82-10-2957-2359 | sales@k-maris.com  |  www.k-maris.com</t>
    <phoneticPr fontId="7" type="noConversion"/>
  </si>
  <si>
    <t>KRW</t>
    <phoneticPr fontId="7" type="noConversion"/>
  </si>
  <si>
    <t>Main Starting Valve (Ball Valve &amp; Actuator) complete assembly  Make Mt.H HBB-150 &amp;HAP-150</t>
    <phoneticPr fontId="7" type="noConversion"/>
  </si>
  <si>
    <t>Repair Kit for Main Starting Ball valve 
(with complete seal set)</t>
    <phoneticPr fontId="7" type="noConversion"/>
  </si>
  <si>
    <t>Exchange Rate</t>
    <phoneticPr fontId="7" type="noConversion"/>
  </si>
  <si>
    <t>운송비용</t>
    <phoneticPr fontId="7" type="noConversion"/>
  </si>
  <si>
    <t>Markup</t>
    <phoneticPr fontId="7" type="noConversion"/>
  </si>
  <si>
    <t>Purchase(USD)</t>
    <phoneticPr fontId="7" type="noConversion"/>
  </si>
  <si>
    <t>Sales(USD)</t>
    <phoneticPr fontId="7" type="noConversion"/>
  </si>
  <si>
    <t>KMS-ORD-2607-003</t>
    <phoneticPr fontId="7" type="noConversion"/>
  </si>
  <si>
    <t>JWE-202607152</t>
    <phoneticPr fontId="7" type="noConversion"/>
  </si>
  <si>
    <t>PURCHASE ORDER</t>
    <phoneticPr fontId="7" type="noConversion"/>
  </si>
  <si>
    <t>MV HOLSATIA</t>
    <phoneticPr fontId="7" type="noConversion"/>
  </si>
  <si>
    <t>ME starting air valve spares(Ball valve and actuator)</t>
    <phoneticPr fontId="7" type="noConversion"/>
  </si>
  <si>
    <t>Amount (KRW)</t>
    <phoneticPr fontId="7" type="noConversion"/>
  </si>
  <si>
    <t>성태우 부장</t>
    <phoneticPr fontId="7" type="noConversion"/>
  </si>
  <si>
    <t>25, Hwajeonsandan 5-ro 74beon-gil, Gangseo-gu, Busan, Korea</t>
    <phoneticPr fontId="7" type="noConversion"/>
  </si>
  <si>
    <t>EXW Busan, 25, Hwajeonsandan 5-ro 74beon-gil, Gangseo-gu, Busan, Korea</t>
    <phoneticPr fontId="7" type="noConversion"/>
  </si>
  <si>
    <t>sales@jinwoo21.com</t>
    <phoneticPr fontId="7" type="noConversion"/>
  </si>
  <si>
    <t>TOTAL ORDER AMOUNT</t>
    <phoneticPr fontId="7" type="noConversion"/>
  </si>
  <si>
    <t>Sam Cho, Managing Director</t>
  </si>
  <si>
    <t>K-MARIS Energy &amp; Solutions</t>
    <phoneticPr fontId="7" type="noConversion"/>
  </si>
  <si>
    <t>1) This purchase order is issued based on the supplier's final quotation and the mutually agreed terms.</t>
    <phoneticPr fontId="7" type="noConversion"/>
  </si>
  <si>
    <t>2) Any change to the items, quantity, delivery date, or price prior to delivery requires prior written confirmation.</t>
    <phoneticPr fontId="7" type="noConversion"/>
  </si>
  <si>
    <t>3) Payment shall be made 30 days after submission of the supporting documents (tax invoice / statement of transaction / delivery confirmation, etc.)</t>
    <phoneticPr fontId="7" type="noConversion"/>
  </si>
  <si>
    <t>4) In the event of a quality, quantity, or specification discrepancy, settlement or replacement may be requested after inspection.</t>
    <phoneticPr fontId="7" type="noConversion"/>
  </si>
  <si>
    <t>납기요청일</t>
    <phoneticPr fontId="7" type="noConversion"/>
  </si>
  <si>
    <t>선박명</t>
    <phoneticPr fontId="7" type="noConversion"/>
  </si>
  <si>
    <t>프로젝트</t>
    <phoneticPr fontId="7" type="noConversion"/>
  </si>
  <si>
    <t>결제조건</t>
    <phoneticPr fontId="7" type="noConversion"/>
  </si>
  <si>
    <t>통화</t>
    <phoneticPr fontId="7" type="noConversion"/>
  </si>
  <si>
    <t>발주번호</t>
    <phoneticPr fontId="7" type="noConversion"/>
  </si>
  <si>
    <t>발주일자</t>
    <phoneticPr fontId="7" type="noConversion"/>
  </si>
  <si>
    <t>견적번호</t>
    <phoneticPr fontId="7" type="noConversion"/>
  </si>
  <si>
    <t>세금계산서 발행 후 30일 이내</t>
    <phoneticPr fontId="7" type="noConversion"/>
  </si>
  <si>
    <t>진우엔지니어링</t>
    <phoneticPr fontId="7" type="noConversion"/>
  </si>
  <si>
    <t>공급자</t>
    <phoneticPr fontId="7" type="noConversion"/>
  </si>
  <si>
    <t>연락처</t>
    <phoneticPr fontId="7" type="noConversion"/>
  </si>
  <si>
    <t>담당자</t>
    <phoneticPr fontId="7" type="noConversion"/>
  </si>
  <si>
    <t>이메일</t>
    <phoneticPr fontId="7" type="noConversion"/>
  </si>
  <si>
    <t>051-322-1012~5</t>
    <phoneticPr fontId="7" type="noConversion"/>
  </si>
  <si>
    <t>주소</t>
    <phoneticPr fontId="7" type="noConversion"/>
  </si>
  <si>
    <t>납품 장소</t>
    <phoneticPr fontId="7" type="noConversion"/>
  </si>
  <si>
    <t>Part No.</t>
    <phoneticPr fontId="7" type="noConversion"/>
  </si>
  <si>
    <t xml:space="preserve"> Description</t>
    <phoneticPr fontId="7" type="noConversion"/>
  </si>
  <si>
    <t>1) 본 발주서는 공급업체의 최종 견적 및 상호 합의 조건을 기준으로 발행합니다.</t>
    <phoneticPr fontId="7" type="noConversion"/>
  </si>
  <si>
    <t>2) 납품 전 품목, 수량, 납기, 가격 변경 시 사전 서면 확인이 필요합니다.</t>
    <phoneticPr fontId="7" type="noConversion"/>
  </si>
  <si>
    <t>3) 세금계산서/거래명세서/납품확인서 등 증빙 제출 후 30일 후 대금 지급합니다.</t>
    <phoneticPr fontId="7" type="noConversion"/>
  </si>
  <si>
    <r>
      <t>4) 품질</t>
    </r>
    <r>
      <rPr>
        <sz val="9"/>
        <rFont val="맑은 고딕"/>
        <family val="3"/>
        <charset val="129"/>
      </rPr>
      <t>〮</t>
    </r>
    <r>
      <rPr>
        <sz val="9"/>
        <rFont val="Noto Sans KR"/>
        <family val="3"/>
        <charset val="129"/>
      </rPr>
      <t>수량</t>
    </r>
    <r>
      <rPr>
        <sz val="9"/>
        <rFont val="맑은 고딕"/>
        <family val="3"/>
        <charset val="129"/>
      </rPr>
      <t>〮</t>
    </r>
    <r>
      <rPr>
        <sz val="9"/>
        <rFont val="Noto Sans KR"/>
        <family val="3"/>
        <charset val="129"/>
      </rPr>
      <t>사양</t>
    </r>
    <r>
      <rPr>
        <sz val="9"/>
        <rFont val="맑은 고딕"/>
        <family val="3"/>
        <charset val="129"/>
      </rPr>
      <t xml:space="preserve"> 불일치 발생 시 검수 후 정산 또는 교체 요청할 수 있습니다.</t>
    </r>
    <phoneticPr fontId="7" type="noConversion"/>
  </si>
  <si>
    <t>1. 발주 정보</t>
    <phoneticPr fontId="7" type="noConversion"/>
  </si>
  <si>
    <t>2. 공급자 정보</t>
    <phoneticPr fontId="7" type="noConversion"/>
  </si>
  <si>
    <t>3. 발주 품목</t>
    <phoneticPr fontId="7" type="noConversion"/>
  </si>
  <si>
    <t>4. 발주조건 및 특기사항</t>
    <phoneticPr fontId="7" type="noConversion"/>
  </si>
  <si>
    <t>5) 본 발주 건은 직수출에 해당하므로, 관련 거래명세서는 영세율 적용 조건으로 발행하여 주시기 바랍니다.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</si>
</sst>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-&quot;m&quot;-&quot;d;@"/>
  </numFmts>
  <fonts count="19">
    <font>
      <sz val="11"/>
      <color theme="1"/>
      <name val="맑은 고딕"/>
      <family val="2"/>
      <scheme val="minor"/>
    </font>
    <font>
      <b/>
      <sz val="19"/>
      <color rgb="FF0B1D3A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9"/>
      <name val="Noto Sans KR"/>
      <family val="3"/>
      <charset val="129"/>
    </font>
    <font>
      <b/>
      <sz val="9"/>
      <name val="Noto Sans KR"/>
      <family val="3"/>
      <charset val="129"/>
    </font>
    <font>
      <b/>
      <sz val="9"/>
      <color rgb="FFFFFFFF"/>
      <name val="Noto Sans KR"/>
      <family val="3"/>
      <charset val="129"/>
    </font>
    <font>
      <b/>
      <sz val="11"/>
      <name val="Noto Sans KR"/>
      <family val="3"/>
      <charset val="129"/>
    </font>
    <font>
      <sz val="8"/>
      <name val="맑은 고딕"/>
      <family val="3"/>
      <charset val="129"/>
      <scheme val="minor"/>
    </font>
    <font>
      <sz val="11"/>
      <name val="Carlito"/>
    </font>
    <font>
      <sz val="24"/>
      <name val="Calibri"/>
      <family val="2"/>
    </font>
    <font>
      <sz val="11"/>
      <name val="Calibri"/>
      <family val="2"/>
    </font>
    <font>
      <sz val="9"/>
      <color theme="1"/>
      <name val="맑은 고딕"/>
      <family val="2"/>
      <scheme val="minor"/>
    </font>
    <font>
      <sz val="9"/>
      <name val="Calibri"/>
      <family val="2"/>
    </font>
    <font>
      <sz val="18"/>
      <name val="Calibri"/>
      <family val="2"/>
    </font>
    <font>
      <sz val="11"/>
      <color theme="1"/>
      <name val="맑은 고딕"/>
      <family val="2"/>
      <scheme val="minor"/>
    </font>
    <font>
      <b/>
      <sz val="12"/>
      <name val="Calibri"/>
      <family val="2"/>
    </font>
    <font>
      <sz val="12"/>
      <color theme="1"/>
      <name val="맑은 고딕"/>
      <family val="2"/>
      <scheme val="minor"/>
    </font>
    <font>
      <sz val="10"/>
      <name val="Calibri"/>
      <family val="2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B66"/>
      </patternFill>
    </fill>
    <fill>
      <patternFill patternType="solid">
        <fgColor rgb="FFF4F6F8"/>
      </patternFill>
    </fill>
    <fill>
      <patternFill patternType="solid">
        <fgColor rgb="FF0B1D3A"/>
      </patternFill>
    </fill>
    <fill>
      <patternFill patternType="solid">
        <fgColor rgb="FFFAFBFC"/>
      </patternFill>
    </fill>
    <fill>
      <patternFill patternType="solid">
        <fgColor rgb="FFEAF3FF"/>
      </patternFill>
    </fill>
  </fills>
  <borders count="10">
    <border>
      <left/>
      <right/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/>
      <bottom style="thin">
        <color rgb="FFC8D2E0"/>
      </bottom>
      <diagonal/>
    </border>
    <border>
      <left/>
      <right style="thin">
        <color rgb="FFC8D2E0"/>
      </right>
      <top/>
      <bottom/>
      <diagonal/>
    </border>
    <border>
      <left style="thin">
        <color rgb="FFC8D2E0"/>
      </left>
      <right/>
      <top style="thin">
        <color rgb="FFC8D2E0"/>
      </top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 style="thin">
        <color rgb="FFC8D2E0"/>
      </top>
      <bottom style="thin">
        <color rgb="FFC8D2E0"/>
      </bottom>
      <diagonal/>
    </border>
    <border>
      <left style="thin">
        <color rgb="FFC8D2E0"/>
      </left>
      <right style="thin">
        <color rgb="FFC8D2E0"/>
      </right>
      <top/>
      <bottom/>
      <diagonal/>
    </border>
    <border>
      <left/>
      <right/>
      <top style="thin">
        <color rgb="FFC8D2E0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8" fillId="0" borderId="0"/>
    <xf numFmtId="41" fontId="14" fillId="0" borderId="0" applyFon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" fontId="0" fillId="5" borderId="1" xfId="0" applyNumberFormat="1" applyFill="1" applyBorder="1" applyAlignment="1">
      <alignment horizontal="right" vertical="center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12" fillId="0" borderId="0" xfId="1" applyFont="1" applyAlignment="1">
      <alignment horizontal="center"/>
    </xf>
    <xf numFmtId="41" fontId="0" fillId="0" borderId="1" xfId="2" applyFont="1" applyBorder="1" applyAlignment="1">
      <alignment horizontal="right" vertical="center"/>
    </xf>
    <xf numFmtId="41" fontId="6" fillId="6" borderId="1" xfId="2" applyFont="1" applyFill="1" applyBorder="1" applyAlignment="1">
      <alignment horizontal="right" vertical="center"/>
    </xf>
    <xf numFmtId="41" fontId="0" fillId="5" borderId="1" xfId="2" applyFont="1" applyFill="1" applyBorder="1" applyAlignment="1">
      <alignment horizontal="right" vertical="center"/>
    </xf>
    <xf numFmtId="0" fontId="12" fillId="0" borderId="0" xfId="1" applyFont="1"/>
    <xf numFmtId="0" fontId="11" fillId="0" borderId="0" xfId="0" applyFont="1"/>
    <xf numFmtId="41" fontId="12" fillId="0" borderId="0" xfId="2" applyFont="1" applyAlignment="1"/>
    <xf numFmtId="41" fontId="11" fillId="0" borderId="0" xfId="2" applyFont="1" applyAlignment="1"/>
    <xf numFmtId="41" fontId="12" fillId="0" borderId="0" xfId="2" applyFont="1" applyAlignment="1">
      <alignment horizontal="center"/>
    </xf>
    <xf numFmtId="0" fontId="11" fillId="0" borderId="0" xfId="0" applyFont="1" applyAlignment="1">
      <alignment horizontal="center"/>
    </xf>
    <xf numFmtId="41" fontId="11" fillId="0" borderId="0" xfId="2" applyFont="1" applyAlignment="1">
      <alignment horizont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5" fillId="0" borderId="9" xfId="0" applyFont="1" applyBorder="1"/>
    <xf numFmtId="0" fontId="16" fillId="0" borderId="9" xfId="0" applyFont="1" applyBorder="1"/>
    <xf numFmtId="0" fontId="16" fillId="0" borderId="0" xfId="0" applyFont="1"/>
    <xf numFmtId="0" fontId="17" fillId="0" borderId="0" xfId="0" applyFont="1"/>
    <xf numFmtId="0" fontId="3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6" fillId="6" borderId="4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0" fillId="0" borderId="6" xfId="0" applyBorder="1"/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/>
    <xf numFmtId="49" fontId="4" fillId="3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0" fillId="0" borderId="7" xfId="0" applyBorder="1"/>
    <xf numFmtId="0" fontId="13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176" fontId="3" fillId="0" borderId="1" xfId="0" applyNumberFormat="1" applyFont="1" applyBorder="1" applyAlignment="1">
      <alignment horizontal="left" vertical="center" wrapText="1"/>
    </xf>
    <xf numFmtId="176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</cellXfs>
  <cellStyles count="3">
    <cellStyle name="Normal" xfId="1" xr:uid="{C05D073A-BF4C-4799-AC60-97F854463A5B}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45721</xdr:rowOff>
    </xdr:from>
    <xdr:to>
      <xdr:col>1</xdr:col>
      <xdr:colOff>1086119</xdr:colOff>
      <xdr:row>3</xdr:row>
      <xdr:rowOff>18508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55D1F5-AA06-4AC0-ADAD-A81BA7B6E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9" t="15345" r="64065" b="9523"/>
        <a:stretch>
          <a:fillRect/>
        </a:stretch>
      </xdr:blipFill>
      <xdr:spPr>
        <a:xfrm>
          <a:off x="586740" y="45721"/>
          <a:ext cx="956579" cy="800101"/>
        </a:xfrm>
        <a:prstGeom prst="rect">
          <a:avLst/>
        </a:prstGeom>
      </xdr:spPr>
    </xdr:pic>
    <xdr:clientData/>
  </xdr:twoCellAnchor>
  <xdr:twoCellAnchor editAs="oneCell">
    <xdr:from>
      <xdr:col>6</xdr:col>
      <xdr:colOff>872879</xdr:colOff>
      <xdr:row>0</xdr:row>
      <xdr:rowOff>289561</xdr:rowOff>
    </xdr:from>
    <xdr:to>
      <xdr:col>7</xdr:col>
      <xdr:colOff>1124109</xdr:colOff>
      <xdr:row>0</xdr:row>
      <xdr:rowOff>459673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742930-BEB8-47C9-AB01-9709ECCB3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7250" y="289561"/>
          <a:ext cx="1318030" cy="170112"/>
        </a:xfrm>
        <a:prstGeom prst="rect">
          <a:avLst/>
        </a:prstGeom>
      </xdr:spPr>
    </xdr:pic>
    <xdr:clientData/>
  </xdr:twoCellAnchor>
  <xdr:twoCellAnchor editAs="oneCell">
    <xdr:from>
      <xdr:col>6</xdr:col>
      <xdr:colOff>868680</xdr:colOff>
      <xdr:row>0</xdr:row>
      <xdr:rowOff>464977</xdr:rowOff>
    </xdr:from>
    <xdr:to>
      <xdr:col>7</xdr:col>
      <xdr:colOff>1161507</xdr:colOff>
      <xdr:row>1</xdr:row>
      <xdr:rowOff>155012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1D9279-C0DC-4FD2-82D1-BFD5AB6F4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53051" y="464977"/>
          <a:ext cx="1359627" cy="158121"/>
        </a:xfrm>
        <a:prstGeom prst="rect">
          <a:avLst/>
        </a:prstGeom>
      </xdr:spPr>
    </xdr:pic>
    <xdr:clientData/>
  </xdr:twoCellAnchor>
  <xdr:oneCellAnchor>
    <xdr:from>
      <xdr:col>0</xdr:col>
      <xdr:colOff>236646</xdr:colOff>
      <xdr:row>41</xdr:row>
      <xdr:rowOff>25056</xdr:rowOff>
    </xdr:from>
    <xdr:ext cx="1428750" cy="495300"/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47C3E708-F199-4703-8A71-4585D47957B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36646" y="9027068"/>
          <a:ext cx="1428750" cy="495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915-E4D8-4001-BCE4-D14DFCDA16BE}">
  <sheetPr>
    <pageSetUpPr fitToPage="1"/>
  </sheetPr>
  <dimension ref="A1:S45"/>
  <sheetViews>
    <sheetView showGridLines="0" tabSelected="1" view="pageBreakPreview" zoomScale="115" zoomScaleNormal="100" zoomScaleSheetLayoutView="115" workbookViewId="0">
      <selection activeCell="A8" sqref="A8:D8"/>
    </sheetView>
  </sheetViews>
  <sheetFormatPr defaultRowHeight="17.600000000000001"/>
  <cols>
    <col min="1" max="1" width="6" customWidth="1"/>
    <col min="2" max="2" width="14.5" customWidth="1"/>
    <col min="3" max="3" width="19.28515625" customWidth="1"/>
    <col min="4" max="4" width="13.5" customWidth="1"/>
    <col min="5" max="5" width="12" customWidth="1"/>
    <col min="6" max="6" width="8" customWidth="1"/>
    <col min="7" max="7" width="14" customWidth="1"/>
    <col min="8" max="8" width="18.28515625" customWidth="1"/>
    <col min="10" max="10" width="8.78515625" style="17"/>
    <col min="11" max="11" width="9.5703125" style="19" bestFit="1" customWidth="1"/>
    <col min="12" max="12" width="8.78515625" style="19"/>
    <col min="13" max="13" width="13.78515625" style="19" customWidth="1"/>
    <col min="14" max="14" width="8.78515625" style="19"/>
    <col min="15" max="15" width="8.78515625" style="17"/>
  </cols>
  <sheetData>
    <row r="1" spans="1:19" ht="37.200000000000003" customHeight="1">
      <c r="A1" s="63" t="s">
        <v>4</v>
      </c>
      <c r="B1" s="63"/>
      <c r="C1" s="63"/>
      <c r="D1" s="63"/>
      <c r="E1" s="63"/>
      <c r="F1" s="63"/>
      <c r="G1" s="63"/>
      <c r="H1" s="63"/>
      <c r="I1" s="10"/>
      <c r="J1" s="16"/>
      <c r="K1" s="18"/>
      <c r="L1" s="18"/>
    </row>
    <row r="2" spans="1:19" ht="14.15" customHeight="1">
      <c r="A2" s="64" t="s">
        <v>5</v>
      </c>
      <c r="B2" s="64"/>
      <c r="C2" s="64"/>
      <c r="D2" s="64"/>
      <c r="E2" s="64"/>
      <c r="F2" s="64"/>
      <c r="G2" s="64"/>
      <c r="H2" s="64"/>
      <c r="I2" s="11"/>
      <c r="J2" s="16"/>
      <c r="K2" s="18"/>
      <c r="L2" s="18"/>
    </row>
    <row r="3" spans="1:19" ht="14.15" customHeight="1">
      <c r="A3" s="64" t="s">
        <v>6</v>
      </c>
      <c r="B3" s="64"/>
      <c r="C3" s="64"/>
      <c r="D3" s="64"/>
      <c r="E3" s="64"/>
      <c r="F3" s="64"/>
      <c r="G3" s="64"/>
      <c r="H3" s="64"/>
      <c r="I3" s="11"/>
      <c r="J3" s="16"/>
      <c r="K3" s="18"/>
      <c r="L3" s="18"/>
      <c r="P3" s="58"/>
      <c r="Q3" s="59"/>
      <c r="R3" s="59"/>
      <c r="S3" s="59"/>
    </row>
    <row r="4" spans="1:19" ht="15.65" customHeight="1">
      <c r="A4" s="60"/>
      <c r="B4" s="60"/>
      <c r="C4" s="60"/>
      <c r="D4" s="60"/>
      <c r="E4" s="60"/>
      <c r="F4" s="60"/>
      <c r="G4" s="60"/>
      <c r="H4" s="60"/>
      <c r="I4" s="9"/>
      <c r="J4" s="12"/>
      <c r="K4" s="20"/>
      <c r="L4" s="20"/>
      <c r="P4" s="1"/>
      <c r="Q4" s="8"/>
      <c r="R4" s="8"/>
      <c r="S4" s="8"/>
    </row>
    <row r="5" spans="1:19" ht="30" customHeight="1">
      <c r="A5" s="67" t="s">
        <v>17</v>
      </c>
      <c r="B5" s="68"/>
      <c r="C5" s="68"/>
      <c r="D5" s="68"/>
      <c r="E5" s="68"/>
      <c r="F5" s="68"/>
      <c r="G5" s="68"/>
      <c r="H5" s="68"/>
    </row>
    <row r="6" spans="1:19" ht="13.85" customHeight="1"/>
    <row r="7" spans="1:19">
      <c r="A7" s="61"/>
      <c r="B7" s="62"/>
      <c r="C7" s="62"/>
      <c r="D7" s="62"/>
      <c r="E7" s="51" t="s">
        <v>37</v>
      </c>
      <c r="F7" s="52"/>
      <c r="G7" s="58" t="s">
        <v>15</v>
      </c>
      <c r="H7" s="52"/>
    </row>
    <row r="8" spans="1:19">
      <c r="A8" s="61"/>
      <c r="B8" s="62"/>
      <c r="C8" s="62"/>
      <c r="D8" s="62"/>
      <c r="E8" s="51" t="s">
        <v>38</v>
      </c>
      <c r="F8" s="52"/>
      <c r="G8" s="65">
        <v>46219</v>
      </c>
      <c r="H8" s="66"/>
    </row>
    <row r="9" spans="1:19">
      <c r="A9" s="69"/>
      <c r="B9" s="69"/>
      <c r="C9" s="69"/>
      <c r="D9" s="70"/>
      <c r="E9" s="51" t="s">
        <v>39</v>
      </c>
      <c r="F9" s="52"/>
      <c r="G9" s="32" t="s">
        <v>16</v>
      </c>
      <c r="H9" s="34"/>
    </row>
    <row r="10" spans="1:19">
      <c r="A10" s="71"/>
      <c r="B10" s="72"/>
      <c r="C10" s="72"/>
      <c r="D10" s="72"/>
      <c r="E10" s="54"/>
      <c r="F10" s="44"/>
      <c r="G10" s="33"/>
      <c r="H10" s="44"/>
    </row>
    <row r="11" spans="1:19" ht="17.399999999999999" customHeight="1">
      <c r="A11" s="39" t="s">
        <v>55</v>
      </c>
      <c r="B11" s="40"/>
      <c r="C11" s="40"/>
      <c r="D11" s="40"/>
      <c r="E11" s="39"/>
      <c r="F11" s="40"/>
      <c r="G11" s="40"/>
      <c r="H11" s="40"/>
    </row>
    <row r="12" spans="1:19" ht="17.399999999999999" customHeight="1">
      <c r="A12" s="51" t="s">
        <v>32</v>
      </c>
      <c r="B12" s="52"/>
      <c r="C12" s="65">
        <v>46223</v>
      </c>
      <c r="D12" s="66"/>
      <c r="E12" s="51" t="s">
        <v>35</v>
      </c>
      <c r="F12" s="52"/>
      <c r="G12" s="32" t="s">
        <v>40</v>
      </c>
      <c r="H12" s="34"/>
    </row>
    <row r="13" spans="1:19">
      <c r="A13" s="51" t="s">
        <v>33</v>
      </c>
      <c r="B13" s="52"/>
      <c r="C13" s="32" t="s">
        <v>18</v>
      </c>
      <c r="D13" s="34"/>
      <c r="E13" s="51" t="s">
        <v>36</v>
      </c>
      <c r="F13" s="52"/>
      <c r="G13" s="32" t="s">
        <v>7</v>
      </c>
      <c r="H13" s="34"/>
    </row>
    <row r="14" spans="1:19" ht="17.399999999999999" customHeight="1">
      <c r="A14" s="51" t="s">
        <v>34</v>
      </c>
      <c r="B14" s="52"/>
      <c r="C14" s="32" t="s">
        <v>19</v>
      </c>
      <c r="D14" s="33"/>
      <c r="E14" s="33"/>
      <c r="F14" s="33"/>
      <c r="G14" s="33"/>
      <c r="H14" s="34"/>
    </row>
    <row r="15" spans="1:19">
      <c r="A15" s="39" t="s">
        <v>56</v>
      </c>
      <c r="B15" s="40"/>
      <c r="C15" s="40"/>
      <c r="D15" s="40"/>
      <c r="E15" s="40"/>
      <c r="F15" s="40"/>
      <c r="G15" s="40"/>
      <c r="H15" s="40"/>
    </row>
    <row r="16" spans="1:19">
      <c r="A16" s="51" t="s">
        <v>42</v>
      </c>
      <c r="B16" s="52"/>
      <c r="C16" s="58" t="s">
        <v>41</v>
      </c>
      <c r="D16" s="52"/>
      <c r="E16" s="51" t="s">
        <v>44</v>
      </c>
      <c r="F16" s="52"/>
      <c r="G16" s="58" t="s">
        <v>21</v>
      </c>
      <c r="H16" s="52"/>
    </row>
    <row r="17" spans="1:15">
      <c r="A17" s="51" t="s">
        <v>43</v>
      </c>
      <c r="B17" s="52"/>
      <c r="C17" s="55" t="s">
        <v>46</v>
      </c>
      <c r="D17" s="56"/>
      <c r="E17" s="57" t="s">
        <v>45</v>
      </c>
      <c r="F17" s="56"/>
      <c r="G17" s="55" t="s">
        <v>24</v>
      </c>
      <c r="H17" s="56"/>
    </row>
    <row r="18" spans="1:15">
      <c r="A18" s="51" t="s">
        <v>47</v>
      </c>
      <c r="B18" s="52"/>
      <c r="C18" s="36" t="s">
        <v>22</v>
      </c>
      <c r="D18" s="37"/>
      <c r="E18" s="37"/>
      <c r="F18" s="37"/>
      <c r="G18" s="37"/>
      <c r="H18" s="38"/>
    </row>
    <row r="19" spans="1:15">
      <c r="A19" s="51" t="s">
        <v>48</v>
      </c>
      <c r="B19" s="52"/>
      <c r="C19" s="36" t="s">
        <v>23</v>
      </c>
      <c r="D19" s="37"/>
      <c r="E19" s="37"/>
      <c r="F19" s="37"/>
      <c r="G19" s="37"/>
      <c r="H19" s="38"/>
    </row>
    <row r="20" spans="1:15">
      <c r="A20" s="54"/>
      <c r="B20" s="44"/>
      <c r="C20" s="33"/>
      <c r="D20" s="44"/>
      <c r="E20" s="54"/>
      <c r="F20" s="44"/>
      <c r="G20" s="33"/>
      <c r="H20" s="44"/>
    </row>
    <row r="21" spans="1:15">
      <c r="A21" s="39" t="s">
        <v>57</v>
      </c>
      <c r="B21" s="40"/>
      <c r="C21" s="40"/>
      <c r="D21" s="40"/>
      <c r="E21" s="40"/>
      <c r="F21" s="40"/>
      <c r="G21" s="40"/>
      <c r="H21" s="40"/>
    </row>
    <row r="22" spans="1:15" ht="24" customHeight="1">
      <c r="A22" s="2" t="s">
        <v>0</v>
      </c>
      <c r="B22" s="45" t="s">
        <v>50</v>
      </c>
      <c r="C22" s="46"/>
      <c r="D22" s="2" t="s">
        <v>49</v>
      </c>
      <c r="E22" s="2" t="s">
        <v>1</v>
      </c>
      <c r="F22" s="2" t="s">
        <v>2</v>
      </c>
      <c r="G22" s="2" t="s">
        <v>3</v>
      </c>
      <c r="H22" s="2" t="s">
        <v>20</v>
      </c>
    </row>
    <row r="23" spans="1:15" ht="52.85" customHeight="1">
      <c r="A23" s="3">
        <v>1</v>
      </c>
      <c r="B23" s="53" t="s">
        <v>8</v>
      </c>
      <c r="C23" s="52"/>
      <c r="D23" s="4"/>
      <c r="E23" s="3"/>
      <c r="F23" s="3">
        <v>1</v>
      </c>
      <c r="G23" s="13">
        <v>6000000</v>
      </c>
      <c r="H23" s="13">
        <f>F23*G23</f>
        <v>6000000</v>
      </c>
    </row>
    <row r="24" spans="1:15" ht="52.2" customHeight="1">
      <c r="A24" s="5">
        <v>2</v>
      </c>
      <c r="B24" s="47" t="s">
        <v>9</v>
      </c>
      <c r="C24" s="48"/>
      <c r="D24" s="6"/>
      <c r="E24" s="5"/>
      <c r="F24" s="5">
        <v>2</v>
      </c>
      <c r="G24" s="15">
        <v>500000</v>
      </c>
      <c r="H24" s="15">
        <f>F24*G24</f>
        <v>1000000</v>
      </c>
    </row>
    <row r="25" spans="1:15" ht="18" customHeight="1">
      <c r="A25" s="5"/>
      <c r="B25" s="49"/>
      <c r="C25" s="50"/>
      <c r="D25" s="6"/>
      <c r="E25" s="5"/>
      <c r="F25" s="5"/>
      <c r="G25" s="7"/>
      <c r="H25" s="7"/>
    </row>
    <row r="26" spans="1:15" ht="18" customHeight="1">
      <c r="A26" s="5"/>
      <c r="B26" s="23"/>
      <c r="C26" s="24"/>
      <c r="D26" s="6"/>
      <c r="E26" s="5"/>
      <c r="F26" s="5"/>
      <c r="G26" s="7"/>
      <c r="H26" s="7"/>
    </row>
    <row r="27" spans="1:15" ht="18" customHeight="1">
      <c r="A27" s="5"/>
      <c r="B27" s="23"/>
      <c r="C27" s="24"/>
      <c r="D27" s="6"/>
      <c r="E27" s="5"/>
      <c r="F27" s="5"/>
      <c r="G27" s="7"/>
      <c r="H27" s="7"/>
    </row>
    <row r="28" spans="1:15" ht="18" customHeight="1">
      <c r="A28" s="5"/>
      <c r="B28" s="23"/>
      <c r="C28" s="24"/>
      <c r="D28" s="6"/>
      <c r="E28" s="5"/>
      <c r="F28" s="5"/>
      <c r="G28" s="7"/>
      <c r="H28" s="7"/>
    </row>
    <row r="29" spans="1:15" ht="18" customHeight="1">
      <c r="A29" s="5"/>
      <c r="B29" s="23"/>
      <c r="C29" s="24"/>
      <c r="D29" s="6"/>
      <c r="E29" s="5"/>
      <c r="F29" s="5"/>
      <c r="G29" s="7"/>
      <c r="H29" s="7"/>
    </row>
    <row r="30" spans="1:15" ht="18" customHeight="1">
      <c r="A30" s="5"/>
      <c r="B30" s="49"/>
      <c r="C30" s="50"/>
      <c r="D30" s="6"/>
      <c r="E30" s="5"/>
      <c r="F30" s="5"/>
      <c r="G30" s="7"/>
      <c r="H30" s="7"/>
    </row>
    <row r="31" spans="1:15" ht="18" customHeight="1">
      <c r="A31" s="5"/>
      <c r="B31" s="49"/>
      <c r="C31" s="50"/>
      <c r="D31" s="6"/>
      <c r="E31" s="5"/>
      <c r="F31" s="5"/>
      <c r="G31" s="7"/>
      <c r="H31" s="7"/>
      <c r="K31" s="19" t="s">
        <v>11</v>
      </c>
    </row>
    <row r="32" spans="1:15" ht="18" customHeight="1">
      <c r="A32" s="5"/>
      <c r="B32" s="49"/>
      <c r="C32" s="50"/>
      <c r="D32" s="6"/>
      <c r="E32" s="5"/>
      <c r="F32" s="5"/>
      <c r="G32" s="7"/>
      <c r="H32" s="7"/>
      <c r="K32" s="19" t="s">
        <v>7</v>
      </c>
      <c r="L32" s="19" t="s">
        <v>10</v>
      </c>
      <c r="M32" s="22" t="s">
        <v>13</v>
      </c>
      <c r="N32" s="19" t="s">
        <v>12</v>
      </c>
      <c r="O32" s="21" t="s">
        <v>14</v>
      </c>
    </row>
    <row r="33" spans="1:17" ht="18" customHeight="1">
      <c r="A33" s="41" t="s">
        <v>25</v>
      </c>
      <c r="B33" s="42"/>
      <c r="C33" s="42"/>
      <c r="D33" s="42"/>
      <c r="E33" s="42"/>
      <c r="F33" s="42"/>
      <c r="G33" s="43"/>
      <c r="H33" s="14">
        <f>SUM(H23:H32)</f>
        <v>7000000</v>
      </c>
    </row>
    <row r="35" spans="1:17">
      <c r="A35" s="39" t="s">
        <v>58</v>
      </c>
      <c r="B35" s="40"/>
      <c r="C35" s="40"/>
      <c r="D35" s="40"/>
      <c r="E35" s="40"/>
      <c r="F35" s="40"/>
      <c r="G35" s="40"/>
      <c r="H35" s="40"/>
    </row>
    <row r="36" spans="1:17">
      <c r="A36" s="35" t="s">
        <v>51</v>
      </c>
      <c r="B36" s="35"/>
      <c r="C36" s="35"/>
      <c r="D36" s="35"/>
      <c r="E36" s="35"/>
      <c r="F36" s="35"/>
      <c r="G36" s="35"/>
      <c r="H36" s="35"/>
      <c r="J36" s="32" t="s">
        <v>28</v>
      </c>
      <c r="K36" s="33"/>
      <c r="L36" s="33"/>
      <c r="M36" s="33"/>
      <c r="N36" s="33"/>
      <c r="O36" s="33"/>
      <c r="P36" s="33"/>
      <c r="Q36" s="34"/>
    </row>
    <row r="37" spans="1:17">
      <c r="A37" s="31" t="s">
        <v>52</v>
      </c>
      <c r="B37" s="31"/>
      <c r="C37" s="31"/>
      <c r="D37" s="31"/>
      <c r="E37" s="31"/>
      <c r="F37" s="31"/>
      <c r="G37" s="31"/>
      <c r="H37" s="31"/>
      <c r="J37" s="32" t="s">
        <v>29</v>
      </c>
      <c r="K37" s="33"/>
      <c r="L37" s="33"/>
      <c r="M37" s="33"/>
      <c r="N37" s="33"/>
      <c r="O37" s="33"/>
      <c r="P37" s="33"/>
      <c r="Q37" s="34"/>
    </row>
    <row r="38" spans="1:17">
      <c r="A38" s="31" t="s">
        <v>53</v>
      </c>
      <c r="B38" s="31"/>
      <c r="C38" s="31"/>
      <c r="D38" s="31"/>
      <c r="E38" s="31"/>
      <c r="F38" s="31"/>
      <c r="G38" s="31"/>
      <c r="H38" s="31"/>
      <c r="J38" s="35" t="s">
        <v>30</v>
      </c>
      <c r="K38" s="35"/>
      <c r="L38" s="35"/>
      <c r="M38" s="35"/>
      <c r="N38" s="35"/>
      <c r="O38" s="35"/>
      <c r="P38" s="35"/>
      <c r="Q38" s="35"/>
    </row>
    <row r="39" spans="1:17">
      <c r="A39" s="31" t="s">
        <v>54</v>
      </c>
      <c r="B39" s="31"/>
      <c r="C39" s="31"/>
      <c r="D39" s="31"/>
      <c r="E39" s="31"/>
      <c r="F39" s="31"/>
      <c r="G39" s="31"/>
      <c r="H39" s="31"/>
      <c r="J39" s="31" t="s">
        <v>31</v>
      </c>
      <c r="K39" s="31"/>
      <c r="L39" s="31"/>
      <c r="M39" s="31"/>
      <c r="N39" s="31"/>
      <c r="O39" s="31"/>
      <c r="P39" s="31"/>
      <c r="Q39" s="31"/>
    </row>
    <row r="40" spans="1:17">
      <c r="A40" s="31" t="s">
        <v>59</v>
      </c>
      <c r="B40" s="31"/>
      <c r="C40" s="31"/>
      <c r="D40" s="31"/>
      <c r="E40" s="31"/>
      <c r="F40" s="31"/>
      <c r="G40" s="31"/>
      <c r="H40" s="31"/>
      <c r="J40" s="29"/>
      <c r="K40" s="29"/>
      <c r="L40" s="29"/>
      <c r="M40" s="29"/>
      <c r="N40" s="29"/>
      <c r="O40" s="29"/>
      <c r="P40" s="29"/>
      <c r="Q40" s="29"/>
    </row>
    <row r="42" spans="1:17" ht="28.1" customHeight="1">
      <c r="J42"/>
      <c r="K42"/>
      <c r="L42"/>
    </row>
    <row r="43" spans="1:17" ht="21" customHeight="1">
      <c r="J43"/>
      <c r="K43"/>
      <c r="L43"/>
    </row>
    <row r="44" spans="1:17" ht="21" customHeight="1">
      <c r="A44" s="25" t="s">
        <v>26</v>
      </c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7">
      <c r="A45" s="30" t="s">
        <v>27</v>
      </c>
      <c r="B45" s="30"/>
      <c r="C45" s="30"/>
      <c r="D45" s="30"/>
      <c r="E45" s="30"/>
      <c r="F45" s="30"/>
      <c r="G45" s="30"/>
      <c r="H45" s="30"/>
      <c r="I45" s="28"/>
      <c r="J45" s="28"/>
      <c r="K45" s="28"/>
      <c r="L45" s="28"/>
    </row>
  </sheetData>
  <mergeCells count="67">
    <mergeCell ref="C12:D12"/>
    <mergeCell ref="E12:F12"/>
    <mergeCell ref="G12:H12"/>
    <mergeCell ref="A16:B16"/>
    <mergeCell ref="C16:D16"/>
    <mergeCell ref="E16:F16"/>
    <mergeCell ref="G16:H16"/>
    <mergeCell ref="A13:B13"/>
    <mergeCell ref="C13:D13"/>
    <mergeCell ref="E13:F13"/>
    <mergeCell ref="G13:H13"/>
    <mergeCell ref="A1:H1"/>
    <mergeCell ref="A2:H2"/>
    <mergeCell ref="A3:H3"/>
    <mergeCell ref="A8:D8"/>
    <mergeCell ref="E8:F8"/>
    <mergeCell ref="G8:H8"/>
    <mergeCell ref="A5:H5"/>
    <mergeCell ref="A14:B14"/>
    <mergeCell ref="C14:H14"/>
    <mergeCell ref="P3:S3"/>
    <mergeCell ref="A4:H4"/>
    <mergeCell ref="A7:D7"/>
    <mergeCell ref="E7:F7"/>
    <mergeCell ref="G7:H7"/>
    <mergeCell ref="A9:D9"/>
    <mergeCell ref="E9:F9"/>
    <mergeCell ref="G9:H9"/>
    <mergeCell ref="A10:D10"/>
    <mergeCell ref="E10:F10"/>
    <mergeCell ref="G10:H10"/>
    <mergeCell ref="A11:D11"/>
    <mergeCell ref="E11:H11"/>
    <mergeCell ref="A12:B12"/>
    <mergeCell ref="A19:B19"/>
    <mergeCell ref="A20:B20"/>
    <mergeCell ref="C20:D20"/>
    <mergeCell ref="E20:F20"/>
    <mergeCell ref="A15:H15"/>
    <mergeCell ref="A17:B17"/>
    <mergeCell ref="C17:D17"/>
    <mergeCell ref="E17:F17"/>
    <mergeCell ref="G17:H17"/>
    <mergeCell ref="C18:H18"/>
    <mergeCell ref="C19:H19"/>
    <mergeCell ref="A36:H36"/>
    <mergeCell ref="A37:H37"/>
    <mergeCell ref="A21:H21"/>
    <mergeCell ref="A33:G33"/>
    <mergeCell ref="A35:H35"/>
    <mergeCell ref="G20:H20"/>
    <mergeCell ref="B22:C22"/>
    <mergeCell ref="B24:C24"/>
    <mergeCell ref="B25:C25"/>
    <mergeCell ref="B30:C30"/>
    <mergeCell ref="B31:C31"/>
    <mergeCell ref="B32:C32"/>
    <mergeCell ref="A18:B18"/>
    <mergeCell ref="B23:C23"/>
    <mergeCell ref="A45:H45"/>
    <mergeCell ref="A38:H38"/>
    <mergeCell ref="A39:H39"/>
    <mergeCell ref="J36:Q36"/>
    <mergeCell ref="J37:Q37"/>
    <mergeCell ref="J38:Q38"/>
    <mergeCell ref="J39:Q39"/>
    <mergeCell ref="A40:H40"/>
  </mergeCells>
  <phoneticPr fontId="7" type="noConversion"/>
  <pageMargins left="0.23622047244094491" right="0.23622047244094491" top="0.70866141732283472" bottom="0.31496062992125984" header="0.51181102362204722" footer="0.51181102362204722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HOLSATIA</vt:lpstr>
      <vt:lpstr>HOLSATIA!Print_Area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sungyeon cho</cp:lastModifiedBy>
  <cp:lastPrinted>2026-07-17T03:23:08Z</cp:lastPrinted>
  <dcterms:created xsi:type="dcterms:W3CDTF">2026-07-15T06:28:34Z</dcterms:created>
  <dcterms:modified xsi:type="dcterms:W3CDTF">2026-07-19T11:18:44Z</dcterms:modified>
</cp:coreProperties>
</file>